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dell\OneDrive\Desktop\"/>
    </mc:Choice>
  </mc:AlternateContent>
  <xr:revisionPtr revIDLastSave="0" documentId="13_ncr:1_{5E083A20-76CF-49CC-8BEF-2FE398C1A19E}" xr6:coauthVersionLast="47" xr6:coauthVersionMax="47" xr10:uidLastSave="{00000000-0000-0000-0000-000000000000}"/>
  <bookViews>
    <workbookView xWindow="-108" yWindow="-108" windowWidth="23256" windowHeight="12456" xr2:uid="{5BEF44A1-651B-4D86-B391-EE2ECD428EBC}"/>
  </bookViews>
  <sheets>
    <sheet name="DASHBOARD" sheetId="16" r:id="rId1"/>
    <sheet name="Data" sheetId="1" r:id="rId2"/>
    <sheet name="Expense_Category" sheetId="12" r:id="rId3"/>
    <sheet name="Count of Expenses" sheetId="13" r:id="rId4"/>
    <sheet name="Expenses vs Income" sheetId="14" r:id="rId5"/>
    <sheet name="Month_Expenses" sheetId="15" r:id="rId6"/>
  </sheets>
  <definedNames>
    <definedName name="amount">Table3[Amount]</definedName>
    <definedName name="category">Table3[Category]</definedName>
    <definedName name="category_price">Expense_Category!$A$12</definedName>
    <definedName name="class">Table3[Fund Class]</definedName>
    <definedName name="date">Table3[Date]</definedName>
    <definedName name="desc">Table3[Description]</definedName>
    <definedName name="expenses">Table3[]</definedName>
    <definedName name="payment_method">Table3[Payment Method]</definedName>
    <definedName name="sel_month">Month_Expenses!$A$9</definedName>
    <definedName name="Slicer_Category">#N/A</definedName>
    <definedName name="Slicer_Fund_Class">#N/A</definedName>
    <definedName name="Slicer_Months__Date">#N/A</definedName>
  </definedNames>
  <calcPr calcId="191029"/>
  <pivotCaches>
    <pivotCache cacheId="12"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9" i="15" l="1"/>
  <c r="A12" i="12"/>
</calcChain>
</file>

<file path=xl/sharedStrings.xml><?xml version="1.0" encoding="utf-8"?>
<sst xmlns="http://schemas.openxmlformats.org/spreadsheetml/2006/main" count="328" uniqueCount="64">
  <si>
    <t>Date</t>
  </si>
  <si>
    <t>Description</t>
  </si>
  <si>
    <t>Category</t>
  </si>
  <si>
    <t>Fund Class</t>
  </si>
  <si>
    <t>Payment Method</t>
  </si>
  <si>
    <t>Amount</t>
  </si>
  <si>
    <t>Salary</t>
  </si>
  <si>
    <t>Income</t>
  </si>
  <si>
    <t>Credit Card</t>
  </si>
  <si>
    <t>Date night with Amiyah</t>
  </si>
  <si>
    <t>Flexing</t>
  </si>
  <si>
    <t>Expenses</t>
  </si>
  <si>
    <t>Lunch at Shiro</t>
  </si>
  <si>
    <t>Food &amp; Drinks</t>
  </si>
  <si>
    <t>Cash</t>
  </si>
  <si>
    <t>10Alytics Training</t>
  </si>
  <si>
    <t>Personal Development</t>
  </si>
  <si>
    <t>Breakfast at KFC</t>
  </si>
  <si>
    <t>Lunch at Chicken Republic</t>
  </si>
  <si>
    <t>Tennis Racket</t>
  </si>
  <si>
    <t>Night at club</t>
  </si>
  <si>
    <t>Coffee at Starbucks</t>
  </si>
  <si>
    <t>Petrol for car</t>
  </si>
  <si>
    <t>Housing &amp; Utilities</t>
  </si>
  <si>
    <t>Gym subscription</t>
  </si>
  <si>
    <t>McDonald's brunch</t>
  </si>
  <si>
    <t>Spotify subscription</t>
  </si>
  <si>
    <t>Lunch at Buzz</t>
  </si>
  <si>
    <t>Mainland Block Party</t>
  </si>
  <si>
    <t>2 shirts and 4 trousers</t>
  </si>
  <si>
    <t>Clothing</t>
  </si>
  <si>
    <t>House Rent</t>
  </si>
  <si>
    <t>Internet and Phone Subscription</t>
  </si>
  <si>
    <t>Coffee at Buzz</t>
  </si>
  <si>
    <t>Movie at cinema</t>
  </si>
  <si>
    <t>Grocery shopping</t>
  </si>
  <si>
    <t>Microsoft Office Purchase</t>
  </si>
  <si>
    <t>Breakfast at Chicken Republic</t>
  </si>
  <si>
    <t>Deodorant and Perfume purchase</t>
  </si>
  <si>
    <t>Birthday party</t>
  </si>
  <si>
    <t>Udemy course</t>
  </si>
  <si>
    <t>Sneakers purchase</t>
  </si>
  <si>
    <t>Business School Training</t>
  </si>
  <si>
    <t>New books purchase</t>
  </si>
  <si>
    <t>Shawarma at Yaba - Lunch</t>
  </si>
  <si>
    <t>Christmas bonus</t>
  </si>
  <si>
    <t>Interest from Investment</t>
  </si>
  <si>
    <t>Davido's concert</t>
  </si>
  <si>
    <t>Games Night contribution</t>
  </si>
  <si>
    <t>Boat cruise</t>
  </si>
  <si>
    <t>Christmas house decoration</t>
  </si>
  <si>
    <t>Apple watch purchase</t>
  </si>
  <si>
    <t>Dinner at Eko Hotel</t>
  </si>
  <si>
    <t>Lunch at Kapadoccia</t>
  </si>
  <si>
    <t>Laptop Repair</t>
  </si>
  <si>
    <t>Grand Total</t>
  </si>
  <si>
    <t>Sum of Amount</t>
  </si>
  <si>
    <t>Oct</t>
  </si>
  <si>
    <t>Nov</t>
  </si>
  <si>
    <t>Dec</t>
  </si>
  <si>
    <t>Count of Amount</t>
  </si>
  <si>
    <t>Expense_Category</t>
  </si>
  <si>
    <t>Month</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</si>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</sst>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6A]#,##0"/>
    <numFmt numFmtId="165" formatCode="_-[$₦-46A]* #,##0.00_-;\-[$₦-46A]* #,##0.00_-;_-[$₦-46A]* &quot;-&quot;??_-;_-@_-"/>
    <numFmt numFmtId="166" formatCode="_-[$₦-46A]* #,##0_-;\-[$₦-46A]* #,##0_-;_-[$₦-46A]* &quot;-&quot;??_-;_-@_-"/>
  </numFmts>
  <fonts count="2" x14ac:knownFonts="1">
    <font>
      <sz val="11"/>
      <color theme="1"/>
      <name val="Calibri"/>
      <family val="2"/>
      <scheme val="minor"/>
    </font>
    <font>
      <sz val="11"/>
      <color theme="1"/>
      <name val="Calibri"/>
      <family val="2"/>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1">
    <xf numFmtId="0" fontId="0" fillId="0" borderId="0"/>
  </cellStyleXfs>
  <cellXfs count="9">
    <xf numFmtId="0" fontId="0" fillId="0" borderId="0" xfId="0"/>
    <xf numFmtId="14" fontId="1" fillId="0" borderId="0" xfId="0" applyNumberFormat="1" applyFon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0" fontId="0" fillId="2" borderId="0" xfId="0" applyFill="1"/>
    <xf numFmtId="0" fontId="0" fillId="0" borderId="0" xfId="0" applyNumberFormat="1"/>
  </cellXfs>
  <cellStyles count="1">
    <cellStyle name="Normal" xfId="0" builtinId="0"/>
  </cellStyles>
  <dxfs count="13">
    <dxf>
      <numFmt numFmtId="165" formatCode="_-[$₦-46A]* #,##0.00_-;\-[$₦-46A]* #,##0.00_-;_-[$₦-46A]* &quot;-&quot;??_-;_-@_-"/>
    </dxf>
    <dxf>
      <numFmt numFmtId="164" formatCode="[$₦-46A]#,##0"/>
    </dxf>
    <dxf>
      <font>
        <b val="0"/>
        <i val="0"/>
        <strike val="0"/>
        <u val="none"/>
        <sz val="11"/>
        <color theme="1"/>
        <name val="Calibri"/>
        <scheme val="none"/>
      </font>
    </dxf>
    <dxf>
      <font>
        <b val="0"/>
        <i val="0"/>
        <strike val="0"/>
        <u val="none"/>
        <sz val="11"/>
        <color theme="1"/>
        <name val="Calibri"/>
        <scheme val="none"/>
      </font>
    </dxf>
    <dxf>
      <font>
        <b val="0"/>
        <i val="0"/>
        <strike val="0"/>
        <u val="none"/>
        <sz val="11"/>
        <color theme="1"/>
        <name val="Calibri"/>
        <scheme val="none"/>
      </font>
    </dxf>
    <dxf>
      <font>
        <b val="0"/>
        <i val="0"/>
        <strike val="0"/>
        <u val="none"/>
        <sz val="11"/>
        <color theme="1"/>
        <name val="Calibri"/>
        <scheme val="none"/>
      </font>
    </dxf>
    <dxf>
      <font>
        <b val="0"/>
        <i val="0"/>
        <strike val="0"/>
        <u val="none"/>
        <sz val="11"/>
        <color theme="1"/>
        <name val="Calibri"/>
        <scheme val="none"/>
      </font>
    </dxf>
    <dxf>
      <font>
        <b val="0"/>
        <i val="0"/>
        <strike val="0"/>
        <u val="none"/>
        <sz val="11"/>
        <color theme="1"/>
        <name val="Calibri"/>
        <scheme val="none"/>
      </font>
      <numFmt numFmtId="19" formatCode="m/d/yyyy"/>
    </dxf>
    <dxf>
      <font>
        <b/>
        <color theme="1"/>
      </font>
      <border>
        <bottom style="thin">
          <color theme="8"/>
        </bottom>
        <vertical/>
        <horizontal/>
      </border>
    </dxf>
    <dxf>
      <font>
        <color theme="1"/>
      </font>
      <fill>
        <patternFill>
          <bgColor rgb="FFD6DCE4"/>
        </patternFill>
      </fill>
      <border>
        <left style="thin">
          <color theme="8"/>
        </left>
        <right style="thin">
          <color theme="8"/>
        </right>
        <top style="thin">
          <color theme="8"/>
        </top>
        <bottom style="thin">
          <color theme="8"/>
        </bottom>
        <vertical/>
        <horizontal/>
      </border>
    </dxf>
    <dxf>
      <font>
        <color theme="0"/>
      </font>
      <fill>
        <patternFill>
          <bgColor theme="1"/>
        </patternFill>
      </fill>
      <border>
        <bottom style="thin">
          <color theme="4"/>
        </bottom>
        <vertical/>
        <horizontal/>
      </border>
    </dxf>
    <dxf>
      <font>
        <color theme="1"/>
      </font>
      <fill>
        <patternFill patternType="solid">
          <bgColor theme="1"/>
        </patternFill>
      </fill>
      <border>
        <left style="thin">
          <color theme="4"/>
        </left>
        <right style="thin">
          <color theme="4"/>
        </right>
        <top style="thin">
          <color theme="4"/>
        </top>
        <bottom style="thin">
          <color theme="4"/>
        </bottom>
        <vertical/>
        <horizontal/>
      </border>
    </dxf>
    <dxf>
      <fill>
        <patternFill>
          <bgColor theme="1"/>
        </patternFill>
      </fill>
    </dxf>
  </dxfs>
  <tableStyles count="3" defaultTableStyle="TableStyleMedium2" defaultPivotStyle="PivotStyleLight16">
    <tableStyle name="Slicer Style 1" pivot="0" table="0" count="1" xr9:uid="{37AA5B05-4D63-46E0-9996-D8F798230FEC}">
      <tableStyleElement type="wholeTable" dxfId="12"/>
    </tableStyle>
    <tableStyle name="SlicerStyleDark1 2" pivot="0" table="0" count="10" xr9:uid="{B536102E-4D20-4B60-8521-16F9B9ECC8FB}">
      <tableStyleElement type="wholeTable" dxfId="11"/>
      <tableStyleElement type="headerRow" dxfId="10"/>
    </tableStyle>
    <tableStyle name="SlicerStyleDark5 2" pivot="0" table="0" count="10" xr9:uid="{8597A113-014A-4B78-91BD-6C513D199FF2}">
      <tableStyleElement type="wholeTable" dxfId="9"/>
      <tableStyleElement type="headerRow" dxfId="8"/>
    </tableStyle>
  </tableStyles>
  <colors>
    <mruColors>
      <color rgb="FFD6DCE4"/>
      <color rgb="FF98A66A"/>
      <color rgb="FFD8F8DD"/>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4" tint="0.39991454817346722"/>
              <bgColor theme="4" tint="0.39994506668294322"/>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4"/>
              <bgColor theme="4"/>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theme="4" tint="0.39994506668294322"/>
              <bgColor theme="4" tint="0.39994506668294322"/>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[oblack edit.xlsx]Expense_Category!PivotTable34</c:name>
    <c:fmtId val="1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Acumin Variable Concept Black I" panose="020B0304020202020204" pitchFamily="34" charset="0"/>
                <a:ea typeface="+mn-ea"/>
                <a:cs typeface="+mn-cs"/>
              </a:defRPr>
            </a:pPr>
            <a:r>
              <a:rPr lang="en-US" sz="1800" b="1">
                <a:latin typeface="Acumin Variable Concept Black I" panose="020B0304020202020204" pitchFamily="34" charset="0"/>
              </a:rPr>
              <a:t>Expenses by Category</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Acumin Variable Concept Black I" panose="020B03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Expense_Category!$B$3</c:f>
              <c:strCache>
                <c:ptCount val="1"/>
                <c:pt idx="0">
                  <c:v>Total</c:v>
                </c:pt>
              </c:strCache>
            </c:strRef>
          </c:tx>
          <c:spPr>
            <a:solidFill>
              <a:schemeClr val="accent1"/>
            </a:solidFill>
            <a:ln>
              <a:noFill/>
            </a:ln>
            <a:effectLst/>
          </c:spPr>
          <c:invertIfNegative val="0"/>
          <c:cat>
            <c:strRef>
              <c:f>Expense_Category!$A$4:$A$9</c:f>
              <c:strCache>
                <c:ptCount val="5"/>
                <c:pt idx="0">
                  <c:v>Housing &amp; Utilities</c:v>
                </c:pt>
                <c:pt idx="1">
                  <c:v>Food &amp; Drinks</c:v>
                </c:pt>
                <c:pt idx="2">
                  <c:v>Flexing</c:v>
                </c:pt>
                <c:pt idx="3">
                  <c:v>Personal Development</c:v>
                </c:pt>
                <c:pt idx="4">
                  <c:v>Clothing</c:v>
                </c:pt>
              </c:strCache>
            </c:strRef>
          </c:cat>
          <c:val>
            <c:numRef>
              <c:f>Expense_Category!$B$4:$B$9</c:f>
              <c:numCache>
                <c:formatCode>[$₦-46A]#,##0</c:formatCode>
                <c:ptCount val="5"/>
                <c:pt idx="0">
                  <c:v>265370</c:v>
                </c:pt>
                <c:pt idx="1">
                  <c:v>207910</c:v>
                </c:pt>
                <c:pt idx="2">
                  <c:v>182094</c:v>
                </c:pt>
                <c:pt idx="3">
                  <c:v>137712</c:v>
                </c:pt>
                <c:pt idx="4">
                  <c:v>69900</c:v>
                </c:pt>
              </c:numCache>
            </c:numRef>
          </c:val>
          <c:extLst>
            <c:ext xmlns:c16="http://schemas.microsoft.com/office/drawing/2014/chart" uri="{C3380CC4-5D6E-409C-BE32-E72D297353CC}">
              <c16:uniqueId val="{00000000-F34A-4092-998E-ACF3C15976DC}"/>
            </c:ext>
          </c:extLst>
        </c:ser>
        <c:dLbls>
          <c:showLegendKey val="0"/>
          <c:showVal val="0"/>
          <c:showCatName val="0"/>
          <c:showSerName val="0"/>
          <c:showPercent val="0"/>
          <c:showBubbleSize val="0"/>
        </c:dLbls>
        <c:gapWidth val="219"/>
        <c:overlap val="-27"/>
        <c:axId val="1423759343"/>
        <c:axId val="1423776143"/>
      </c:barChart>
      <c:catAx>
        <c:axId val="142375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Acumin Variable Concept Black I" panose="020B0304020202020204" pitchFamily="34" charset="0"/>
                <a:ea typeface="+mn-ea"/>
                <a:cs typeface="+mn-cs"/>
              </a:defRPr>
            </a:pPr>
            <a:endParaRPr lang="en-US"/>
          </a:p>
        </c:txPr>
        <c:crossAx val="1423776143"/>
        <c:crosses val="autoZero"/>
        <c:auto val="1"/>
        <c:lblAlgn val="ctr"/>
        <c:lblOffset val="100"/>
        <c:noMultiLvlLbl val="0"/>
      </c:catAx>
      <c:valAx>
        <c:axId val="1423776143"/>
        <c:scaling>
          <c:orientation val="minMax"/>
        </c:scaling>
        <c:delete val="0"/>
        <c:axPos val="l"/>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cumin Variable Concept Black I" panose="020B0304020202020204" pitchFamily="34" charset="0"/>
                <a:ea typeface="+mn-ea"/>
                <a:cs typeface="+mn-cs"/>
              </a:defRPr>
            </a:pPr>
            <a:endParaRPr lang="en-US"/>
          </a:p>
        </c:txPr>
        <c:crossAx val="1423759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[oblack edit.xlsx]Expenses vs Income!PivotTable36</c:name>
    <c:fmtId val="9"/>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Acumin Variable Concept Black I" panose="020B0304020202020204" pitchFamily="34" charset="0"/>
                <a:ea typeface="+mn-ea"/>
                <a:cs typeface="+mn-cs"/>
              </a:defRPr>
            </a:pPr>
            <a:r>
              <a:rPr lang="en-US" sz="1800" b="1">
                <a:latin typeface="Acumin Variable Concept Black I" panose="020B0304020202020204" pitchFamily="34" charset="0"/>
              </a:rPr>
              <a:t>Expenses vs Income</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Acumin Variable Concept Black I" panose="020B0304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Acumin Variable Concept Black I" panose="020B0304020202020204"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lumMod val="60000"/>
              <a:lumOff val="40000"/>
            </a:schemeClr>
          </a:solidFill>
          <a:ln w="19050">
            <a:solidFill>
              <a:schemeClr val="lt1"/>
            </a:solidFill>
          </a:ln>
          <a:effectLst/>
        </c:spPr>
      </c:pivotFmt>
    </c:pivotFmts>
    <c:plotArea>
      <c:layout/>
      <c:pieChart>
        <c:varyColors val="1"/>
        <c:ser>
          <c:idx val="0"/>
          <c:order val="0"/>
          <c:tx>
            <c:strRef>
              <c:f>'Expenses vs Income'!$B$3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53-4E3C-83E6-F49401A6B2AA}"/>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0053-4E3C-83E6-F49401A6B2AA}"/>
              </c:ext>
            </c:extLst>
          </c:dPt>
          <c:dLbls>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Acumin Variable Concept Black I" panose="020B0304020202020204" pitchFamily="34" charset="0"/>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'Expenses vs Income'!$A$4:$A$6</c:f>
              <c:strCache>
                <c:ptCount val="2"/>
                <c:pt idx="0">
                  <c:v>Expenses</c:v>
                </c:pt>
                <c:pt idx="1">
                  <c:v>Income</c:v>
                </c:pt>
              </c:strCache>
            </c:strRef>
          </c:cat>
          <c:val>
            <c:numRef>
              <c:f>'Expenses vs Income'!$B$4:$B$6</c:f>
              <c:numCache>
                <c:formatCode>General</c:formatCode>
                <c:ptCount val="2"/>
                <c:pt idx="0">
                  <c:v>862986</c:v>
                </c:pt>
                <c:pt idx="1">
                  <c:v>1445900</c:v>
                </c:pt>
              </c:numCache>
            </c:numRef>
          </c:val>
          <c:extLst>
            <c:ext xmlns:c16="http://schemas.microsoft.com/office/drawing/2014/chart" uri="{C3380CC4-5D6E-409C-BE32-E72D297353CC}">
              <c16:uniqueId val="{00000004-0053-4E3C-83E6-F49401A6B2AA}"/>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Acumin Variable Concept Black I" panose="020B03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[oblack edit.xlsx]Month_Expenses!PivotTable37</c:name>
    <c:fmtId val="7"/>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Month Expenses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cumin Variable Concept Black I" panose="020B03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Month_Expenses!$B$3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cumin Variable Concept Black I" panose="020B03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Month_Expenses!$A$4:$A$7</c:f>
              <c:strCache>
                <c:ptCount val="3"/>
                <c:pt idx="0">
                  <c:v>Oct</c:v>
                </c:pt>
                <c:pt idx="1">
                  <c:v>Nov</c:v>
                </c:pt>
                <c:pt idx="2">
                  <c:v>Dec</c:v>
                </c:pt>
              </c:strCache>
            </c:strRef>
          </c:cat>
          <c:val>
            <c:numRef>
              <c:f>Month_Expenses!$B$4:$B$7</c:f>
              <c:numCache>
                <c:formatCode>_-[$₦-46A]* #,##0.00_-;\-[$₦-46A]* #,##0.00_-;_-[$₦-46A]* "-"??_-;_-@_-</c:formatCode>
                <c:ptCount val="3"/>
                <c:pt idx="0">
                  <c:v>658559</c:v>
                </c:pt>
                <c:pt idx="1">
                  <c:v>661104</c:v>
                </c:pt>
                <c:pt idx="2">
                  <c:v>989223</c:v>
                </c:pt>
              </c:numCache>
            </c:numRef>
          </c:val>
          <c:extLst>
            <c:ext xmlns:c16="http://schemas.microsoft.com/office/drawing/2014/chart" uri="{C3380CC4-5D6E-409C-BE32-E72D297353CC}">
              <c16:uniqueId val="{00000000-5E90-4EB3-8E05-6ABC2283C58B}"/>
            </c:ext>
          </c:extLst>
        </c:ser>
        <c:dLbls>
          <c:dLblPos val="outEnd"/>
          <c:showLegendKey val="0"/>
          <c:showVal val="1"/>
          <c:showCatName val="0"/>
          <c:showSerName val="0"/>
          <c:showPercent val="0"/>
          <c:showBubbleSize val="0"/>
        </c:dLbls>
        <c:gapWidth val="182"/>
        <c:axId val="1423786223"/>
        <c:axId val="1423786703"/>
      </c:barChart>
      <c:catAx>
        <c:axId val="1423786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cumin Variable Concept Black I" panose="020B0304020202020204" pitchFamily="34" charset="0"/>
                <a:ea typeface="+mn-ea"/>
                <a:cs typeface="+mn-cs"/>
              </a:defRPr>
            </a:pPr>
            <a:endParaRPr lang="en-US"/>
          </a:p>
        </c:txPr>
        <c:crossAx val="1423786703"/>
        <c:crosses val="autoZero"/>
        <c:auto val="1"/>
        <c:lblAlgn val="ctr"/>
        <c:lblOffset val="100"/>
        <c:noMultiLvlLbl val="0"/>
      </c:catAx>
      <c:valAx>
        <c:axId val="1423786703"/>
        <c:scaling>
          <c:orientation val="minMax"/>
        </c:scaling>
        <c:delete val="1"/>
        <c:axPos val="b"/>
        <c:numFmt formatCode="_-[$₦-46A]* #,##0.00_-;\-[$₦-46A]* #,##0.00_-;_-[$₦-46A]* &quot;-&quot;??_-;_-@_-" sourceLinked="1"/>
        <c:majorTickMark val="none"/>
        <c:minorTickMark val="none"/>
        <c:tickLblPos val="nextTo"/>
        <c:crossAx val="1423786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[oblack edit.xlsx]Count of Expenses!PivotTable35</c:name>
    <c:fmtId val="25"/>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Acumin Variable Concept Black I" panose="020B0304020202020204" pitchFamily="34" charset="0"/>
                <a:ea typeface="+mn-ea"/>
                <a:cs typeface="+mn-cs"/>
              </a:defRPr>
            </a:pPr>
            <a:r>
              <a:rPr lang="en-US" sz="1800" b="1">
                <a:latin typeface="Acumin Variable Concept Black I" panose="020B0304020202020204" pitchFamily="34" charset="0"/>
              </a:rPr>
              <a:t>Count of Expenses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Acumin Variable Concept Black I" panose="020B03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8820033246348"/>
          <c:y val="0.1996313358853882"/>
          <c:w val="0.84452154976272509"/>
          <c:h val="0.39151444692799303"/>
        </c:manualLayout>
      </c:layout>
      <c:areaChart>
        <c:grouping val="standard"/>
        <c:varyColors val="0"/>
        <c:ser>
          <c:idx val="0"/>
          <c:order val="0"/>
          <c:tx>
            <c:strRef>
              <c:f>'Count of Expenses'!$B$3</c:f>
              <c:strCache>
                <c:ptCount val="1"/>
                <c:pt idx="0">
                  <c:v>Total</c:v>
                </c:pt>
              </c:strCache>
            </c:strRef>
          </c:tx>
          <c:spPr>
            <a:solidFill>
              <a:schemeClr val="accent1"/>
            </a:solidFill>
            <a:ln>
              <a:noFill/>
            </a:ln>
            <a:effectLst/>
          </c:spPr>
          <c:cat>
            <c:strRef>
              <c:f>'Count of Expenses'!$A$4:$A$10</c:f>
              <c:strCache>
                <c:ptCount val="6"/>
                <c:pt idx="0">
                  <c:v>Clothing</c:v>
                </c:pt>
                <c:pt idx="1">
                  <c:v>Income</c:v>
                </c:pt>
                <c:pt idx="2">
                  <c:v>Personal Development</c:v>
                </c:pt>
                <c:pt idx="3">
                  <c:v>Housing &amp; Utilities</c:v>
                </c:pt>
                <c:pt idx="4">
                  <c:v>Flexing</c:v>
                </c:pt>
                <c:pt idx="5">
                  <c:v>Food &amp; Drinks</c:v>
                </c:pt>
              </c:strCache>
            </c:strRef>
          </c:cat>
          <c:val>
            <c:numRef>
              <c:f>'Count of Expenses'!$B$4:$B$10</c:f>
              <c:numCache>
                <c:formatCode>General</c:formatCode>
                <c:ptCount val="6"/>
                <c:pt idx="0">
                  <c:v>3</c:v>
                </c:pt>
                <c:pt idx="1">
                  <c:v>5</c:v>
                </c:pt>
                <c:pt idx="2">
                  <c:v>11</c:v>
                </c:pt>
                <c:pt idx="3">
                  <c:v>14</c:v>
                </c:pt>
                <c:pt idx="4">
                  <c:v>14</c:v>
                </c:pt>
                <c:pt idx="5">
                  <c:v>25</c:v>
                </c:pt>
              </c:numCache>
            </c:numRef>
          </c:val>
          <c:extLst>
            <c:ext xmlns:c16="http://schemas.microsoft.com/office/drawing/2014/chart" uri="{C3380CC4-5D6E-409C-BE32-E72D297353CC}">
              <c16:uniqueId val="{00000000-2A8E-44E8-B2ED-F6C72FCBAEDA}"/>
            </c:ext>
          </c:extLst>
        </c:ser>
        <c:dLbls>
          <c:showLegendKey val="0"/>
          <c:showVal val="0"/>
          <c:showCatName val="0"/>
          <c:showSerName val="0"/>
          <c:showPercent val="0"/>
          <c:showBubbleSize val="0"/>
        </c:dLbls>
        <c:axId val="1396671663"/>
        <c:axId val="1396681743"/>
      </c:areaChart>
      <c:catAx>
        <c:axId val="139667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b" anchorCtr="0"/>
          <a:lstStyle/>
          <a:p>
            <a:pPr>
              <a:defRPr sz="1000" b="1" i="0" u="none" strike="noStrike" kern="1200" baseline="0">
                <a:solidFill>
                  <a:schemeClr val="tx1">
                    <a:lumMod val="65000"/>
                    <a:lumOff val="35000"/>
                  </a:schemeClr>
                </a:solidFill>
                <a:latin typeface="Acumin Variable Concept Black I" panose="020B0304020202020204" pitchFamily="34" charset="0"/>
                <a:ea typeface="+mn-ea"/>
                <a:cs typeface="+mn-cs"/>
              </a:defRPr>
            </a:pPr>
            <a:endParaRPr lang="en-US"/>
          </a:p>
        </c:txPr>
        <c:crossAx val="1396681743"/>
        <c:crosses val="autoZero"/>
        <c:auto val="1"/>
        <c:lblAlgn val="ctr"/>
        <c:lblOffset val="100"/>
        <c:noMultiLvlLbl val="0"/>
      </c:catAx>
      <c:valAx>
        <c:axId val="1396681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cumin Variable Concept Black I" panose="020B0304020202020204" pitchFamily="34" charset="0"/>
                <a:ea typeface="+mn-ea"/>
                <a:cs typeface="+mn-cs"/>
              </a:defRPr>
            </a:pPr>
            <a:endParaRPr lang="en-US"/>
          </a:p>
        </c:txPr>
        <c:crossAx val="13966716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[oblack edit.xlsx]Expense_Category!PivotTable34</c:name>
    <c:fmtId val="0"/>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Expenses by Category</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Expense_Category!$B$3</c:f>
              <c:strCache>
                <c:ptCount val="1"/>
                <c:pt idx="0">
                  <c:v>Total</c:v>
                </c:pt>
              </c:strCache>
            </c:strRef>
          </c:tx>
          <c:spPr>
            <a:solidFill>
              <a:schemeClr val="accent1"/>
            </a:solidFill>
            <a:ln>
              <a:noFill/>
            </a:ln>
            <a:effectLst/>
          </c:spPr>
          <c:invertIfNegative val="0"/>
          <c:cat>
            <c:strRef>
              <c:f>Expense_Category!$A$4:$A$9</c:f>
              <c:strCache>
                <c:ptCount val="5"/>
                <c:pt idx="0">
                  <c:v>Housing &amp; Utilities</c:v>
                </c:pt>
                <c:pt idx="1">
                  <c:v>Food &amp; Drinks</c:v>
                </c:pt>
                <c:pt idx="2">
                  <c:v>Flexing</c:v>
                </c:pt>
                <c:pt idx="3">
                  <c:v>Personal Development</c:v>
                </c:pt>
                <c:pt idx="4">
                  <c:v>Clothing</c:v>
                </c:pt>
              </c:strCache>
            </c:strRef>
          </c:cat>
          <c:val>
            <c:numRef>
              <c:f>Expense_Category!$B$4:$B$9</c:f>
              <c:numCache>
                <c:formatCode>[$₦-46A]#,##0</c:formatCode>
                <c:ptCount val="5"/>
                <c:pt idx="0">
                  <c:v>265370</c:v>
                </c:pt>
                <c:pt idx="1">
                  <c:v>207910</c:v>
                </c:pt>
                <c:pt idx="2">
                  <c:v>182094</c:v>
                </c:pt>
                <c:pt idx="3">
                  <c:v>137712</c:v>
                </c:pt>
                <c:pt idx="4">
                  <c:v>69900</c:v>
                </c:pt>
              </c:numCache>
            </c:numRef>
          </c:val>
          <c:extLst>
            <c:ext xmlns:c16="http://schemas.microsoft.com/office/drawing/2014/chart" uri="{C3380CC4-5D6E-409C-BE32-E72D297353CC}">
              <c16:uniqueId val="{00000000-ECB4-42E1-AC07-1AAD73359F4F}"/>
            </c:ext>
          </c:extLst>
        </c:ser>
        <c:dLbls>
          <c:showLegendKey val="0"/>
          <c:showVal val="0"/>
          <c:showCatName val="0"/>
          <c:showSerName val="0"/>
          <c:showPercent val="0"/>
          <c:showBubbleSize val="0"/>
        </c:dLbls>
        <c:gapWidth val="219"/>
        <c:overlap val="-27"/>
        <c:axId val="1423759343"/>
        <c:axId val="1423776143"/>
      </c:barChart>
      <c:catAx>
        <c:axId val="142375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23776143"/>
        <c:crosses val="autoZero"/>
        <c:auto val="1"/>
        <c:lblAlgn val="ctr"/>
        <c:lblOffset val="100"/>
        <c:noMultiLvlLbl val="0"/>
      </c:catAx>
      <c:valAx>
        <c:axId val="1423776143"/>
        <c:scaling>
          <c:orientation val="minMax"/>
        </c:scaling>
        <c:delete val="0"/>
        <c:axPos val="l"/>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23759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[oblack edit.xlsx]Count of Expenses!PivotTable35</c:name>
    <c:fmtId val="0"/>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Count of Expenses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'Count of Expenses'!$B$3</c:f>
              <c:strCache>
                <c:ptCount val="1"/>
                <c:pt idx="0">
                  <c:v>Total</c:v>
                </c:pt>
              </c:strCache>
            </c:strRef>
          </c:tx>
          <c:spPr>
            <a:solidFill>
              <a:schemeClr val="accent1"/>
            </a:solidFill>
            <a:ln>
              <a:noFill/>
            </a:ln>
            <a:effectLst/>
          </c:spPr>
          <c:cat>
            <c:strRef>
              <c:f>'Count of Expenses'!$A$4:$A$10</c:f>
              <c:strCache>
                <c:ptCount val="6"/>
                <c:pt idx="0">
                  <c:v>Clothing</c:v>
                </c:pt>
                <c:pt idx="1">
                  <c:v>Income</c:v>
                </c:pt>
                <c:pt idx="2">
                  <c:v>Personal Development</c:v>
                </c:pt>
                <c:pt idx="3">
                  <c:v>Housing &amp; Utilities</c:v>
                </c:pt>
                <c:pt idx="4">
                  <c:v>Flexing</c:v>
                </c:pt>
                <c:pt idx="5">
                  <c:v>Food &amp; Drinks</c:v>
                </c:pt>
              </c:strCache>
            </c:strRef>
          </c:cat>
          <c:val>
            <c:numRef>
              <c:f>'Count of Expenses'!$B$4:$B$10</c:f>
              <c:numCache>
                <c:formatCode>General</c:formatCode>
                <c:ptCount val="6"/>
                <c:pt idx="0">
                  <c:v>3</c:v>
                </c:pt>
                <c:pt idx="1">
                  <c:v>5</c:v>
                </c:pt>
                <c:pt idx="2">
                  <c:v>11</c:v>
                </c:pt>
                <c:pt idx="3">
                  <c:v>14</c:v>
                </c:pt>
                <c:pt idx="4">
                  <c:v>14</c:v>
                </c:pt>
                <c:pt idx="5">
                  <c:v>25</c:v>
                </c:pt>
              </c:numCache>
            </c:numRef>
          </c:val>
          <c:extLst>
            <c:ext xmlns:c16="http://schemas.microsoft.com/office/drawing/2014/chart" uri="{C3380CC4-5D6E-409C-BE32-E72D297353CC}">
              <c16:uniqueId val="{00000000-5BCE-434D-AE31-BC378A5BFB6A}"/>
            </c:ext>
          </c:extLst>
        </c:ser>
        <c:dLbls>
          <c:showLegendKey val="0"/>
          <c:showVal val="0"/>
          <c:showCatName val="0"/>
          <c:showSerName val="0"/>
          <c:showPercent val="0"/>
          <c:showBubbleSize val="0"/>
        </c:dLbls>
        <c:axId val="1396671663"/>
        <c:axId val="1396681743"/>
      </c:areaChart>
      <c:catAx>
        <c:axId val="139667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96681743"/>
        <c:crosses val="autoZero"/>
        <c:auto val="1"/>
        <c:lblAlgn val="ctr"/>
        <c:lblOffset val="100"/>
        <c:noMultiLvlLbl val="0"/>
      </c:catAx>
      <c:valAx>
        <c:axId val="1396681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966716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[oblack edit.xlsx]Expenses vs Income!PivotTable36</c:name>
    <c:fmtId val="0"/>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Expenses vs Income</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'Expenses vs Income'!$B$3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C7-4E9A-816F-31481E41A9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C7-4E9A-816F-31481E41A97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'Expenses vs Income'!$A$4:$A$6</c:f>
              <c:strCache>
                <c:ptCount val="2"/>
                <c:pt idx="0">
                  <c:v>Expenses</c:v>
                </c:pt>
                <c:pt idx="1">
                  <c:v>Income</c:v>
                </c:pt>
              </c:strCache>
            </c:strRef>
          </c:cat>
          <c:val>
            <c:numRef>
              <c:f>'Expenses vs Income'!$B$4:$B$6</c:f>
              <c:numCache>
                <c:formatCode>General</c:formatCode>
                <c:ptCount val="2"/>
                <c:pt idx="0">
                  <c:v>862986</c:v>
                </c:pt>
                <c:pt idx="1">
                  <c:v>1445900</c:v>
                </c:pt>
              </c:numCache>
            </c:numRef>
          </c:val>
          <c:extLst>
            <c:ext xmlns:c16="http://schemas.microsoft.com/office/drawing/2014/chart" uri="{C3380CC4-5D6E-409C-BE32-E72D297353CC}">
              <c16:uniqueId val="{00000000-A90F-4A26-9E4F-6BBCF3B33D1E}"/>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[oblack edit.xlsx]Month_Expenses!PivotTable37</c:name>
    <c:fmtId val="0"/>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Month Expenses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Month_Expenses!$B$3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Month_Expenses!$A$4:$A$7</c:f>
              <c:strCache>
                <c:ptCount val="3"/>
                <c:pt idx="0">
                  <c:v>Oct</c:v>
                </c:pt>
                <c:pt idx="1">
                  <c:v>Nov</c:v>
                </c:pt>
                <c:pt idx="2">
                  <c:v>Dec</c:v>
                </c:pt>
              </c:strCache>
            </c:strRef>
          </c:cat>
          <c:val>
            <c:numRef>
              <c:f>Month_Expenses!$B$4:$B$7</c:f>
              <c:numCache>
                <c:formatCode>_-[$₦-46A]* #,##0.00_-;\-[$₦-46A]* #,##0.00_-;_-[$₦-46A]* "-"??_-;_-@_-</c:formatCode>
                <c:ptCount val="3"/>
                <c:pt idx="0">
                  <c:v>658559</c:v>
                </c:pt>
                <c:pt idx="1">
                  <c:v>661104</c:v>
                </c:pt>
                <c:pt idx="2">
                  <c:v>989223</c:v>
                </c:pt>
              </c:numCache>
            </c:numRef>
          </c:val>
          <c:extLst>
            <c:ext xmlns:c16="http://schemas.microsoft.com/office/drawing/2014/chart" uri="{C3380CC4-5D6E-409C-BE32-E72D297353CC}">
              <c16:uniqueId val="{00000000-CD70-405F-BA8B-13A9A53703E4}"/>
            </c:ext>
          </c:extLst>
        </c:ser>
        <c:dLbls>
          <c:dLblPos val="outEnd"/>
          <c:showLegendKey val="0"/>
          <c:showVal val="1"/>
          <c:showCatName val="0"/>
          <c:showSerName val="0"/>
          <c:showPercent val="0"/>
          <c:showBubbleSize val="0"/>
        </c:dLbls>
        <c:gapWidth val="182"/>
        <c:axId val="1423786223"/>
        <c:axId val="1423786703"/>
      </c:barChart>
      <c:catAx>
        <c:axId val="1423786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23786703"/>
        <c:crosses val="autoZero"/>
        <c:auto val="1"/>
        <c:lblAlgn val="ctr"/>
        <c:lblOffset val="100"/>
        <c:noMultiLvlLbl val="0"/>
      </c:catAx>
      <c:valAx>
        <c:axId val="1423786703"/>
        <c:scaling>
          <c:orientation val="minMax"/>
        </c:scaling>
        <c:delete val="1"/>
        <c:axPos val="b"/>
        <c:numFmt formatCode="_-[$₦-46A]* #,##0.00_-;\-[$₦-46A]* #,##0.00_-;_-[$₦-46A]* &quot;-&quot;??_-;_-@_-" sourceLinked="1"/>
        <c:majorTickMark val="none"/>
        <c:minorTickMark val="none"/>
        <c:tickLblPos val="nextTo"/>
        <c:crossAx val="1423786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96512</xdr:colOff>
      <xdr:row>5</xdr:row>
      <xdr:rowOff>30480</xdr:rowOff>
    </xdr:from>
    <xdr:to>
      <xdr:col>4</xdr:col>
      <xdr:colOff>96528</xdr:colOff>
      <xdr:row>17</xdr:row>
      <xdr:rowOff>122065</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0CFEB133-25AD-F6E2-09C9-9EBA2434AA3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01630" y="926951"/>
              <a:ext cx="1815369" cy="22431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99044</xdr:colOff>
      <xdr:row>30</xdr:row>
      <xdr:rowOff>22747</xdr:rowOff>
    </xdr:from>
    <xdr:to>
      <xdr:col>4</xdr:col>
      <xdr:colOff>99060</xdr:colOff>
      <xdr:row>38</xdr:row>
      <xdr:rowOff>91440</xdr:rowOff>
    </xdr:to>
    <mc:AlternateContent xmlns:mc="http://schemas.openxmlformats.org/markup-compatibility/2006" xmlns:a14="http://schemas.microsoft.com/office/drawing/2010/main">
      <mc:Choice Requires="a14">
        <xdr:graphicFrame macro="">
          <xdr:nvGraphicFramePr>
            <xdr:cNvPr id="14" name="Fund Class">
              <a:extLst>
                <a:ext uri="{FF2B5EF4-FFF2-40B4-BE49-F238E27FC236}">
                  <a16:creationId xmlns:a16="http://schemas.microsoft.com/office/drawing/2014/main" id="{7E723A99-8383-6A94-9F82-EB0E934C17AA}"/>
                </a:ext>
              </a:extLst>
            </xdr:cNvPr>
            <xdr:cNvGraphicFramePr/>
          </xdr:nvGraphicFramePr>
          <xdr:xfrm>
            <a:off x="0" y="0"/>
            <a:ext cx="0" cy="0"/>
          </xdr:xfrm>
          <a:graphic>
            <a:graphicData uri="http://schemas.microsoft.com/office/drawing/2010/slicer">
              <sle:slicer xmlns:sle="http://schemas.microsoft.com/office/drawing/2010/slicer" name="Fund Class"/>
            </a:graphicData>
          </a:graphic>
        </xdr:graphicFrame>
      </mc:Choice>
      <mc:Fallback xmlns="">
        <xdr:sp macro="" textlink="">
          <xdr:nvSpPr>
            <xdr:cNvPr id="0" name=""/>
            <xdr:cNvSpPr>
              <a:spLocks noTextEdit="1"/>
            </xdr:cNvSpPr>
          </xdr:nvSpPr>
          <xdr:spPr>
            <a:xfrm>
              <a:off x="704162" y="5401571"/>
              <a:ext cx="1815369" cy="15030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93980</xdr:colOff>
      <xdr:row>17</xdr:row>
      <xdr:rowOff>119519</xdr:rowOff>
    </xdr:from>
    <xdr:to>
      <xdr:col>4</xdr:col>
      <xdr:colOff>93996</xdr:colOff>
      <xdr:row>30</xdr:row>
      <xdr:rowOff>27838</xdr:rowOff>
    </xdr:to>
    <mc:AlternateContent xmlns:mc="http://schemas.openxmlformats.org/markup-compatibility/2006" xmlns:a14="http://schemas.microsoft.com/office/drawing/2010/main">
      <mc:Choice Requires="a14">
        <xdr:graphicFrame macro="">
          <xdr:nvGraphicFramePr>
            <xdr:cNvPr id="16" name="Months (Date)">
              <a:extLst>
                <a:ext uri="{FF2B5EF4-FFF2-40B4-BE49-F238E27FC236}">
                  <a16:creationId xmlns:a16="http://schemas.microsoft.com/office/drawing/2014/main" id="{D3C087B4-5B6D-86A3-A0A9-4AF855F174C0}"/>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699098" y="3167519"/>
              <a:ext cx="1815369" cy="22391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376177</xdr:colOff>
      <xdr:row>6</xdr:row>
      <xdr:rowOff>3971</xdr:rowOff>
    </xdr:from>
    <xdr:to>
      <xdr:col>24</xdr:col>
      <xdr:colOff>381000</xdr:colOff>
      <xdr:row>16</xdr:row>
      <xdr:rowOff>44823</xdr:rowOff>
    </xdr:to>
    <xdr:sp macro="" textlink="">
      <xdr:nvSpPr>
        <xdr:cNvPr id="6" name="TextBox 5">
          <a:extLst>
            <a:ext uri="{FF2B5EF4-FFF2-40B4-BE49-F238E27FC236}">
              <a16:creationId xmlns:a16="http://schemas.microsoft.com/office/drawing/2014/main" id="{C1CE93A6-3941-5049-5C1E-FBA26913AE12}"/>
            </a:ext>
          </a:extLst>
        </xdr:cNvPr>
        <xdr:cNvSpPr txBox="1"/>
      </xdr:nvSpPr>
      <xdr:spPr>
        <a:xfrm>
          <a:off x="13083648" y="1079736"/>
          <a:ext cx="1820176" cy="1833793"/>
        </a:xfrm>
        <a:prstGeom prst="rect">
          <a:avLst/>
        </a:prstGeom>
        <a:noFill/>
        <a:ln>
          <a:solidFill>
            <a:schemeClr val="bg2"/>
          </a:solidFill>
        </a:ln>
        <a:effectLst>
          <a:outerShdw blurRad="50800" dist="38100" dir="16200000" rotWithShape="0">
            <a:schemeClr val="accent1">
              <a:lumMod val="75000"/>
              <a:alpha val="40000"/>
            </a:schemeClr>
          </a:outerShdw>
        </a:effectLst>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2400" b="1">
              <a:solidFill>
                <a:schemeClr val="accent1">
                  <a:lumMod val="75000"/>
                </a:schemeClr>
              </a:solidFill>
              <a:latin typeface="Acumin Variable Concept Black I" panose="020B0304020202020204" pitchFamily="34" charset="0"/>
              <a:ea typeface="+mn-ea"/>
              <a:cs typeface="+mn-cs"/>
            </a:rPr>
            <a:t>CATEGORY</a:t>
          </a:r>
          <a:r>
            <a:rPr lang="en-US" sz="2400" b="1">
              <a:solidFill>
                <a:schemeClr val="dk1"/>
              </a:solidFill>
              <a:latin typeface="Acumin Variable Concept Black I" panose="020B0304020202020204" pitchFamily="34" charset="0"/>
              <a:ea typeface="+mn-ea"/>
              <a:cs typeface="+mn-cs"/>
            </a:rPr>
            <a:t> </a:t>
          </a:r>
          <a:r>
            <a:rPr lang="en-US" sz="2400" b="1">
              <a:solidFill>
                <a:schemeClr val="accent1">
                  <a:lumMod val="75000"/>
                </a:schemeClr>
              </a:solidFill>
              <a:latin typeface="Acumin Variable Concept Black I" panose="020B0304020202020204" pitchFamily="34" charset="0"/>
              <a:ea typeface="+mn-ea"/>
              <a:cs typeface="+mn-cs"/>
            </a:rPr>
            <a:t>PRICE</a:t>
          </a:r>
        </a:p>
      </xdr:txBody>
    </xdr:sp>
    <xdr:clientData/>
  </xdr:twoCellAnchor>
  <xdr:twoCellAnchor>
    <xdr:from>
      <xdr:col>21</xdr:col>
      <xdr:colOff>405118</xdr:colOff>
      <xdr:row>11</xdr:row>
      <xdr:rowOff>125121</xdr:rowOff>
    </xdr:from>
    <xdr:to>
      <xdr:col>24</xdr:col>
      <xdr:colOff>349747</xdr:colOff>
      <xdr:row>15</xdr:row>
      <xdr:rowOff>47096</xdr:rowOff>
    </xdr:to>
    <xdr:sp macro="" textlink="category_price">
      <xdr:nvSpPr>
        <xdr:cNvPr id="7" name="TextBox 6">
          <a:extLst>
            <a:ext uri="{FF2B5EF4-FFF2-40B4-BE49-F238E27FC236}">
              <a16:creationId xmlns:a16="http://schemas.microsoft.com/office/drawing/2014/main" id="{5899570D-C45F-3CA9-B427-4DF4992F204C}"/>
            </a:ext>
          </a:extLst>
        </xdr:cNvPr>
        <xdr:cNvSpPr txBox="1"/>
      </xdr:nvSpPr>
      <xdr:spPr>
        <a:xfrm>
          <a:off x="13112589" y="2097356"/>
          <a:ext cx="1759982" cy="639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5119DD6-7751-4B8E-AF63-D9BDDEB27FEB}" type="TxLink">
            <a:rPr lang="en-US" sz="2800" b="1" i="0" u="none" strike="noStrike">
              <a:solidFill>
                <a:sysClr val="windowText" lastClr="000000"/>
              </a:solidFill>
              <a:latin typeface="Calibri"/>
              <a:ea typeface="Calibri"/>
              <a:cs typeface="Calibri"/>
            </a:rPr>
            <a:pPr algn="ctr"/>
            <a:t> ₦862,986 </a:t>
          </a:fld>
          <a:endParaRPr lang="en-US" sz="2800" b="1">
            <a:solidFill>
              <a:sysClr val="windowText" lastClr="000000"/>
            </a:solidFill>
          </a:endParaRPr>
        </a:p>
      </xdr:txBody>
    </xdr:sp>
    <xdr:clientData/>
  </xdr:twoCellAnchor>
  <xdr:twoCellAnchor>
    <xdr:from>
      <xdr:col>21</xdr:col>
      <xdr:colOff>424403</xdr:colOff>
      <xdr:row>16</xdr:row>
      <xdr:rowOff>112059</xdr:rowOff>
    </xdr:from>
    <xdr:to>
      <xdr:col>24</xdr:col>
      <xdr:colOff>347382</xdr:colOff>
      <xdr:row>24</xdr:row>
      <xdr:rowOff>145676</xdr:rowOff>
    </xdr:to>
    <xdr:sp macro="" textlink="">
      <xdr:nvSpPr>
        <xdr:cNvPr id="9" name="TextBox 8">
          <a:extLst>
            <a:ext uri="{FF2B5EF4-FFF2-40B4-BE49-F238E27FC236}">
              <a16:creationId xmlns:a16="http://schemas.microsoft.com/office/drawing/2014/main" id="{B16FFCF8-9474-4960-995A-1BC953FA47E4}"/>
            </a:ext>
          </a:extLst>
        </xdr:cNvPr>
        <xdr:cNvSpPr txBox="1"/>
      </xdr:nvSpPr>
      <xdr:spPr>
        <a:xfrm>
          <a:off x="13131874" y="2980765"/>
          <a:ext cx="1738332" cy="1467970"/>
        </a:xfrm>
        <a:prstGeom prst="rect">
          <a:avLst/>
        </a:prstGeom>
        <a:noFill/>
        <a:ln>
          <a:solidFill>
            <a:schemeClr val="bg2"/>
          </a:solidFill>
        </a:ln>
        <a:effectLst>
          <a:outerShdw blurRad="50800" dist="38100" dir="16200000" rotWithShape="0">
            <a:schemeClr val="accent1">
              <a:lumMod val="75000"/>
              <a:alpha val="40000"/>
            </a:schemeClr>
          </a:outerShdw>
        </a:effectLst>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2800">
              <a:solidFill>
                <a:schemeClr val="accent1">
                  <a:lumMod val="75000"/>
                </a:schemeClr>
              </a:solidFill>
              <a:latin typeface="Acumin Variable Concept Black I" panose="020B0304020202020204" pitchFamily="34" charset="0"/>
              <a:ea typeface="+mn-ea"/>
              <a:cs typeface="+mn-cs"/>
            </a:rPr>
            <a:t>MONTH</a:t>
          </a:r>
        </a:p>
      </xdr:txBody>
    </xdr:sp>
    <xdr:clientData/>
  </xdr:twoCellAnchor>
  <xdr:twoCellAnchor>
    <xdr:from>
      <xdr:col>21</xdr:col>
      <xdr:colOff>424403</xdr:colOff>
      <xdr:row>20</xdr:row>
      <xdr:rowOff>12070</xdr:rowOff>
    </xdr:from>
    <xdr:to>
      <xdr:col>24</xdr:col>
      <xdr:colOff>324389</xdr:colOff>
      <xdr:row>24</xdr:row>
      <xdr:rowOff>47731</xdr:rowOff>
    </xdr:to>
    <xdr:sp macro="" textlink="sel_month">
      <xdr:nvSpPr>
        <xdr:cNvPr id="10" name="TextBox 9">
          <a:extLst>
            <a:ext uri="{FF2B5EF4-FFF2-40B4-BE49-F238E27FC236}">
              <a16:creationId xmlns:a16="http://schemas.microsoft.com/office/drawing/2014/main" id="{2438EE46-99B9-5DEE-5D51-C6B0BCD07867}"/>
            </a:ext>
          </a:extLst>
        </xdr:cNvPr>
        <xdr:cNvSpPr txBox="1"/>
      </xdr:nvSpPr>
      <xdr:spPr>
        <a:xfrm>
          <a:off x="13131874" y="3597952"/>
          <a:ext cx="1715339" cy="75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6BFAF45-7035-47FF-909D-9FFA3DEE6164}" type="TxLink">
            <a:rPr lang="en-US" sz="3600" b="1" i="0" u="none" strike="noStrike">
              <a:solidFill>
                <a:srgbClr val="000000"/>
              </a:solidFill>
              <a:latin typeface="Acumin Variable Concept Black I" panose="020B0304020202020204" pitchFamily="34" charset="0"/>
              <a:ea typeface="Calibri"/>
              <a:cs typeface="Calibri"/>
            </a:rPr>
            <a:pPr algn="ctr"/>
            <a:t>Oct</a:t>
          </a:fld>
          <a:endParaRPr lang="en-US" sz="3600" b="1">
            <a:latin typeface="Acumin Variable Concept Black I" panose="020B0304020202020204" pitchFamily="34" charset="0"/>
          </a:endParaRPr>
        </a:p>
      </xdr:txBody>
    </xdr:sp>
    <xdr:clientData/>
  </xdr:twoCellAnchor>
  <xdr:twoCellAnchor>
    <xdr:from>
      <xdr:col>5</xdr:col>
      <xdr:colOff>96456</xdr:colOff>
      <xdr:row>6</xdr:row>
      <xdr:rowOff>19289</xdr:rowOff>
    </xdr:from>
    <xdr:to>
      <xdr:col>12</xdr:col>
      <xdr:colOff>163975</xdr:colOff>
      <xdr:row>21</xdr:row>
      <xdr:rowOff>163973</xdr:rowOff>
    </xdr:to>
    <xdr:graphicFrame macro="">
      <xdr:nvGraphicFramePr>
        <xdr:cNvPr id="11" name="Chart 10">
          <a:extLst>
            <a:ext uri="{FF2B5EF4-FFF2-40B4-BE49-F238E27FC236}">
              <a16:creationId xmlns:a16="http://schemas.microsoft.com/office/drawing/2014/main" id="{8D1779CC-943A-4265-B28F-7E1FCCFCB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395468</xdr:colOff>
      <xdr:row>5</xdr:row>
      <xdr:rowOff>48228</xdr:rowOff>
    </xdr:from>
    <xdr:to>
      <xdr:col>12</xdr:col>
      <xdr:colOff>520860</xdr:colOff>
      <xdr:row>23</xdr:row>
      <xdr:rowOff>0</xdr:rowOff>
    </xdr:to>
    <xdr:sp macro="" textlink="">
      <xdr:nvSpPr>
        <xdr:cNvPr id="15" name="Rectangle: Rounded Corners 14">
          <a:extLst>
            <a:ext uri="{FF2B5EF4-FFF2-40B4-BE49-F238E27FC236}">
              <a16:creationId xmlns:a16="http://schemas.microsoft.com/office/drawing/2014/main" id="{20D93F75-180B-E4D0-12C6-164C319BA5A1}"/>
            </a:ext>
          </a:extLst>
        </xdr:cNvPr>
        <xdr:cNvSpPr/>
      </xdr:nvSpPr>
      <xdr:spPr>
        <a:xfrm>
          <a:off x="2815939" y="944699"/>
          <a:ext cx="4966333" cy="3179066"/>
        </a:xfrm>
        <a:prstGeom prst="roundRect">
          <a:avLst/>
        </a:prstGeom>
        <a:noFill/>
        <a:ln>
          <a:solidFill>
            <a:schemeClr val="bg2"/>
          </a:solidFill>
        </a:ln>
        <a:effectLst>
          <a:outerShdw blurRad="50800" dist="38100" dir="16200000" rotWithShape="0">
            <a:schemeClr val="accent1">
              <a:lumMod val="75000"/>
              <a:alpha val="40000"/>
            </a:scheme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133109</xdr:colOff>
      <xdr:row>5</xdr:row>
      <xdr:rowOff>46296</xdr:rowOff>
    </xdr:from>
    <xdr:to>
      <xdr:col>21</xdr:col>
      <xdr:colOff>258501</xdr:colOff>
      <xdr:row>23</xdr:row>
      <xdr:rowOff>2040</xdr:rowOff>
    </xdr:to>
    <xdr:sp macro="" textlink="">
      <xdr:nvSpPr>
        <xdr:cNvPr id="17" name="Rectangle: Rounded Corners 16">
          <a:extLst>
            <a:ext uri="{FF2B5EF4-FFF2-40B4-BE49-F238E27FC236}">
              <a16:creationId xmlns:a16="http://schemas.microsoft.com/office/drawing/2014/main" id="{5658136E-2670-69CF-FD18-74B49342AC15}"/>
            </a:ext>
          </a:extLst>
        </xdr:cNvPr>
        <xdr:cNvSpPr/>
      </xdr:nvSpPr>
      <xdr:spPr>
        <a:xfrm>
          <a:off x="7999638" y="942767"/>
          <a:ext cx="4966334" cy="3183038"/>
        </a:xfrm>
        <a:prstGeom prst="roundRect">
          <a:avLst/>
        </a:prstGeom>
        <a:noFill/>
        <a:ln>
          <a:solidFill>
            <a:schemeClr val="bg2"/>
          </a:solidFill>
        </a:ln>
        <a:effectLst>
          <a:outerShdw blurRad="50800" dist="38100" dir="16200000" rotWithShape="0">
            <a:schemeClr val="accent1">
              <a:lumMod val="75000"/>
              <a:alpha val="40000"/>
            </a:scheme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472632</xdr:colOff>
      <xdr:row>6</xdr:row>
      <xdr:rowOff>19294</xdr:rowOff>
    </xdr:from>
    <xdr:to>
      <xdr:col>20</xdr:col>
      <xdr:colOff>544048</xdr:colOff>
      <xdr:row>21</xdr:row>
      <xdr:rowOff>168955</xdr:rowOff>
    </xdr:to>
    <xdr:graphicFrame macro="">
      <xdr:nvGraphicFramePr>
        <xdr:cNvPr id="18" name="Chart 17">
          <a:extLst>
            <a:ext uri="{FF2B5EF4-FFF2-40B4-BE49-F238E27FC236}">
              <a16:creationId xmlns:a16="http://schemas.microsoft.com/office/drawing/2014/main" id="{C3AF12DC-5A74-47A6-93C8-86144591E3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383891</xdr:colOff>
      <xdr:row>23</xdr:row>
      <xdr:rowOff>94533</xdr:rowOff>
    </xdr:from>
    <xdr:to>
      <xdr:col>12</xdr:col>
      <xdr:colOff>509283</xdr:colOff>
      <xdr:row>41</xdr:row>
      <xdr:rowOff>46305</xdr:rowOff>
    </xdr:to>
    <xdr:sp macro="" textlink="">
      <xdr:nvSpPr>
        <xdr:cNvPr id="19" name="Rectangle: Rounded Corners 18">
          <a:extLst>
            <a:ext uri="{FF2B5EF4-FFF2-40B4-BE49-F238E27FC236}">
              <a16:creationId xmlns:a16="http://schemas.microsoft.com/office/drawing/2014/main" id="{D093CE1F-7BB9-3F4B-E33E-04877ADBE77B}"/>
            </a:ext>
          </a:extLst>
        </xdr:cNvPr>
        <xdr:cNvSpPr/>
      </xdr:nvSpPr>
      <xdr:spPr>
        <a:xfrm>
          <a:off x="2804362" y="4218298"/>
          <a:ext cx="4966333" cy="3179066"/>
        </a:xfrm>
        <a:prstGeom prst="roundRect">
          <a:avLst/>
        </a:prstGeom>
        <a:noFill/>
        <a:ln>
          <a:solidFill>
            <a:schemeClr val="bg2"/>
          </a:solidFill>
        </a:ln>
        <a:effectLst>
          <a:outerShdw blurRad="50800" dist="38100" dir="16200000" rotWithShape="0">
            <a:schemeClr val="accent1">
              <a:lumMod val="75000"/>
              <a:alpha val="40000"/>
            </a:scheme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86806</xdr:colOff>
      <xdr:row>24</xdr:row>
      <xdr:rowOff>77167</xdr:rowOff>
    </xdr:from>
    <xdr:to>
      <xdr:col>12</xdr:col>
      <xdr:colOff>158221</xdr:colOff>
      <xdr:row>40</xdr:row>
      <xdr:rowOff>43562</xdr:rowOff>
    </xdr:to>
    <xdr:graphicFrame macro="">
      <xdr:nvGraphicFramePr>
        <xdr:cNvPr id="21" name="Chart 20">
          <a:extLst>
            <a:ext uri="{FF2B5EF4-FFF2-40B4-BE49-F238E27FC236}">
              <a16:creationId xmlns:a16="http://schemas.microsoft.com/office/drawing/2014/main" id="{A6C7C4B1-D5F9-4C0C-81AC-256460EF95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140821</xdr:colOff>
      <xdr:row>23</xdr:row>
      <xdr:rowOff>82956</xdr:rowOff>
    </xdr:from>
    <xdr:to>
      <xdr:col>21</xdr:col>
      <xdr:colOff>266213</xdr:colOff>
      <xdr:row>41</xdr:row>
      <xdr:rowOff>34728</xdr:rowOff>
    </xdr:to>
    <xdr:sp macro="" textlink="">
      <xdr:nvSpPr>
        <xdr:cNvPr id="24" name="Rectangle: Rounded Corners 23">
          <a:extLst>
            <a:ext uri="{FF2B5EF4-FFF2-40B4-BE49-F238E27FC236}">
              <a16:creationId xmlns:a16="http://schemas.microsoft.com/office/drawing/2014/main" id="{8C4873CA-C1CA-4038-84DC-2498BDE9FBF5}"/>
            </a:ext>
          </a:extLst>
        </xdr:cNvPr>
        <xdr:cNvSpPr/>
      </xdr:nvSpPr>
      <xdr:spPr>
        <a:xfrm>
          <a:off x="8007350" y="4206721"/>
          <a:ext cx="4966334" cy="3179066"/>
        </a:xfrm>
        <a:prstGeom prst="roundRect">
          <a:avLst/>
        </a:prstGeom>
        <a:noFill/>
        <a:ln>
          <a:solidFill>
            <a:schemeClr val="bg2"/>
          </a:solidFill>
        </a:ln>
        <a:effectLst>
          <a:outerShdw blurRad="50800" dist="38100" dir="16200000" rotWithShape="0">
            <a:schemeClr val="accent1">
              <a:lumMod val="75000"/>
              <a:alpha val="40000"/>
            </a:scheme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491928</xdr:colOff>
      <xdr:row>24</xdr:row>
      <xdr:rowOff>77163</xdr:rowOff>
    </xdr:from>
    <xdr:to>
      <xdr:col>20</xdr:col>
      <xdr:colOff>563344</xdr:colOff>
      <xdr:row>40</xdr:row>
      <xdr:rowOff>43558</xdr:rowOff>
    </xdr:to>
    <xdr:graphicFrame macro="">
      <xdr:nvGraphicFramePr>
        <xdr:cNvPr id="25" name="Chart 24">
          <a:extLst>
            <a:ext uri="{FF2B5EF4-FFF2-40B4-BE49-F238E27FC236}">
              <a16:creationId xmlns:a16="http://schemas.microsoft.com/office/drawing/2014/main" id="{0562247B-252E-4E27-A902-C146AF226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598035</xdr:colOff>
      <xdr:row>0</xdr:row>
      <xdr:rowOff>104453</xdr:rowOff>
    </xdr:from>
    <xdr:to>
      <xdr:col>20</xdr:col>
      <xdr:colOff>557523</xdr:colOff>
      <xdr:row>4</xdr:row>
      <xdr:rowOff>112058</xdr:rowOff>
    </xdr:to>
    <xdr:sp macro="" textlink="">
      <xdr:nvSpPr>
        <xdr:cNvPr id="26" name="Rectangle: Rounded Corners 25">
          <a:extLst>
            <a:ext uri="{FF2B5EF4-FFF2-40B4-BE49-F238E27FC236}">
              <a16:creationId xmlns:a16="http://schemas.microsoft.com/office/drawing/2014/main" id="{45654950-6449-58C8-D7A4-B90591A1B15C}"/>
            </a:ext>
          </a:extLst>
        </xdr:cNvPr>
        <xdr:cNvSpPr/>
      </xdr:nvSpPr>
      <xdr:spPr>
        <a:xfrm>
          <a:off x="3018506" y="104453"/>
          <a:ext cx="9641370" cy="724781"/>
        </a:xfrm>
        <a:prstGeom prst="roundRect">
          <a:avLst/>
        </a:prstGeom>
        <a:noFill/>
        <a:ln>
          <a:solidFill>
            <a:schemeClr val="bg2"/>
          </a:solidFill>
        </a:ln>
        <a:effectLst>
          <a:outerShdw blurRad="50800" dist="38100" dir="16200000" rotWithShape="0">
            <a:schemeClr val="accent1">
              <a:lumMod val="75000"/>
              <a:alpha val="40000"/>
            </a:scheme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4000" b="1">
              <a:solidFill>
                <a:schemeClr val="accent1">
                  <a:lumMod val="75000"/>
                </a:schemeClr>
              </a:solidFill>
              <a:effectLst/>
              <a:latin typeface="Acumin Variable Concept Black I" panose="020B0304020202020204" pitchFamily="34" charset="0"/>
              <a:ea typeface="+mn-ea"/>
              <a:cs typeface="+mn-cs"/>
            </a:rPr>
            <a:t>CASH FLOW DASHBOARD</a:t>
          </a:r>
          <a:endParaRPr lang="en-US" sz="4000">
            <a:solidFill>
              <a:schemeClr val="accent1">
                <a:lumMod val="75000"/>
              </a:schemeClr>
            </a:solidFill>
            <a:effectLst/>
            <a:latin typeface="Acumin Variable Concept Black I" panose="020B0304020202020204" pitchFamily="34" charset="0"/>
          </a:endParaRPr>
        </a:p>
        <a:p>
          <a:pPr algn="ctr"/>
          <a:endParaRPr lang="en-US" sz="4000">
            <a:solidFill>
              <a:schemeClr val="accent1">
                <a:lumMod val="75000"/>
              </a:schemeClr>
            </a:solidFill>
            <a:latin typeface="Acumin Variable Concept Black I" panose="020B03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220980</xdr:colOff>
      <xdr:row>3</xdr:row>
      <xdr:rowOff>64770</xdr:rowOff>
    </xdr:from>
    <xdr:to>
      <xdr:col>10</xdr:col>
      <xdr:colOff>525780</xdr:colOff>
      <xdr:row>18</xdr:row>
      <xdr:rowOff>64770</xdr:rowOff>
    </xdr:to>
    <xdr:graphicFrame macro="">
      <xdr:nvGraphicFramePr>
        <xdr:cNvPr id="2" name="Chart 1">
          <a:extLst>
            <a:ext uri="{FF2B5EF4-FFF2-40B4-BE49-F238E27FC236}">
              <a16:creationId xmlns:a16="http://schemas.microsoft.com/office/drawing/2014/main" id="{33C6AFEA-CB33-D24A-DE3D-CFECF3EE57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327660</xdr:colOff>
      <xdr:row>3</xdr:row>
      <xdr:rowOff>60960</xdr:rowOff>
    </xdr:from>
    <xdr:to>
      <xdr:col>11</xdr:col>
      <xdr:colOff>22860</xdr:colOff>
      <xdr:row>18</xdr:row>
      <xdr:rowOff>60960</xdr:rowOff>
    </xdr:to>
    <xdr:graphicFrame macro="">
      <xdr:nvGraphicFramePr>
        <xdr:cNvPr id="2" name="Chart 1">
          <a:extLst>
            <a:ext uri="{FF2B5EF4-FFF2-40B4-BE49-F238E27FC236}">
              <a16:creationId xmlns:a16="http://schemas.microsoft.com/office/drawing/2014/main" id="{245C299E-097E-66F8-BEA4-8D9D83EB2F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220980</xdr:colOff>
      <xdr:row>6</xdr:row>
      <xdr:rowOff>45720</xdr:rowOff>
    </xdr:from>
    <xdr:to>
      <xdr:col>11</xdr:col>
      <xdr:colOff>525780</xdr:colOff>
      <xdr:row>21</xdr:row>
      <xdr:rowOff>45720</xdr:rowOff>
    </xdr:to>
    <xdr:graphicFrame macro="">
      <xdr:nvGraphicFramePr>
        <xdr:cNvPr id="2" name="Chart 1">
          <a:extLst>
            <a:ext uri="{FF2B5EF4-FFF2-40B4-BE49-F238E27FC236}">
              <a16:creationId xmlns:a16="http://schemas.microsoft.com/office/drawing/2014/main" id="{9E244566-15B7-E011-BC35-FF76E63994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2</xdr:row>
      <xdr:rowOff>38100</xdr:rowOff>
    </xdr:from>
    <xdr:to>
      <xdr:col>11</xdr:col>
      <xdr:colOff>304800</xdr:colOff>
      <xdr:row>17</xdr:row>
      <xdr:rowOff>38100</xdr:rowOff>
    </xdr:to>
    <xdr:graphicFrame macro="">
      <xdr:nvGraphicFramePr>
        <xdr:cNvPr id="2" name="Chart 1">
          <a:extLst>
            <a:ext uri="{FF2B5EF4-FFF2-40B4-BE49-F238E27FC236}">
              <a16:creationId xmlns:a16="http://schemas.microsoft.com/office/drawing/2014/main" id="{08A05FE3-57C7-D077-EAF7-862F04DF8C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45.308358564813" createdVersion="8" refreshedVersion="8" minRefreshableVersion="3" recordCount="72" xr:uid="{70CDC37C-008C-49C1-ACE6-0E53ACA4B2A7}">
  <cacheSource type="worksheet">
    <worksheetSource name="Table3"/>
  </cacheSource>
  <cacheFields count="8">
    <cacheField name="Date" numFmtId="14">
      <sharedItems containsSemiMixedTypes="0" containsNonDate="0" containsDate="1" containsString="0" minDate="2022-10-01T00:00:00" maxDate="2023-01-01T00:00:00" count="50">
        <d v="2022-10-01T00:00:00"/>
        <d v="2022-10-02T00:00:00"/>
        <d v="2022-10-03T00:00:00"/>
        <d v="2022-10-08T00:00:00"/>
        <d v="2022-10-09T00:00:00"/>
        <d v="2022-10-10T00:00:00"/>
        <d v="2022-10-11T00:00:00"/>
        <d v="2022-10-16T00:00:00"/>
        <d v="2022-10-19T00:00:00"/>
        <d v="2022-10-20T00:00:00"/>
        <d v="2022-10-24T00:00:00"/>
        <d v="2022-10-25T00:00:00"/>
        <d v="2022-10-26T00:00:00"/>
        <d v="2022-10-27T00:00:00"/>
        <d v="2022-10-28T00:00:00"/>
        <d v="2022-10-30T00:00:00"/>
        <d v="2022-11-01T00:00:00"/>
        <d v="2022-11-04T00:00:00"/>
        <d v="2022-11-07T00:00:00"/>
        <d v="2022-11-09T00:00:00"/>
        <d v="2022-11-10T00:00:00"/>
        <d v="2022-11-11T00:00:00"/>
        <d v="2022-11-13T00:00:00"/>
        <d v="2022-11-16T00:00:00"/>
        <d v="2022-11-17T00:00:00"/>
        <d v="2022-11-19T00:00:00"/>
        <d v="2022-11-20T00:00:00"/>
        <d v="2022-11-23T00:00:00"/>
        <d v="2022-11-24T00:00:00"/>
        <d v="2022-11-25T00:00:00"/>
        <d v="2022-11-26T00:00:00"/>
        <d v="2022-11-27T00:00:00"/>
        <d v="2022-11-28T00:00:00"/>
        <d v="2022-11-30T00:00:00"/>
        <d v="2022-12-01T00:00:00"/>
        <d v="2022-12-02T00:00:00"/>
        <d v="2022-12-10T00:00:00"/>
        <d v="2022-12-12T00:00:00"/>
        <d v="2022-12-13T00:00:00"/>
        <d v="2022-12-14T00:00:00"/>
        <d v="2022-12-15T00:00:00"/>
        <d v="2022-12-19T00:00:00"/>
        <d v="2022-12-20T00:00:00"/>
        <d v="2022-12-22T00:00:00"/>
        <d v="2022-12-25T00:00:00"/>
        <d v="2022-12-26T00:00:00"/>
        <d v="2022-12-27T00:00:00"/>
        <d v="2022-12-28T00:00:00"/>
        <d v="2022-12-29T00:00:00"/>
        <d v="2022-12-31T00:00:00"/>
      </sharedItems>
      <fieldGroup par="7"/>
    </cacheField>
    <cacheField name="Description" numFmtId="0">
      <sharedItems/>
    </cacheField>
    <cacheField name="Category" numFmtId="0">
      <sharedItems count="6">
        <s v="Income"/>
        <s v="Flexing"/>
        <s v="Food &amp; Drinks"/>
        <s v="Personal Development"/>
        <s v="Housing &amp; Utilities"/>
        <s v="Clothing"/>
      </sharedItems>
    </cacheField>
    <cacheField name="Fund Class" numFmtId="0">
      <sharedItems count="2">
        <s v="Income"/>
        <s v="Expenses"/>
      </sharedItems>
    </cacheField>
    <cacheField name="Payment Method" numFmtId="0">
      <sharedItems count="2">
        <s v="Credit Card"/>
        <s v="Cash"/>
      </sharedItems>
    </cacheField>
    <cacheField name="Amount" numFmtId="0">
      <sharedItems containsSemiMixedTypes="0" containsString="0" containsNumber="1" containsInteger="1" minValue="1940" maxValue="400000" count="59">
        <n v="400000"/>
        <n v="7092"/>
        <n v="5403"/>
        <n v="60000"/>
        <n v="8844"/>
        <n v="7752"/>
        <n v="6621"/>
        <n v="5347"/>
        <n v="5366"/>
        <n v="7449"/>
        <n v="9800"/>
        <n v="8492"/>
        <n v="4300"/>
        <n v="8647"/>
        <n v="6714"/>
        <n v="5079"/>
        <n v="17600"/>
        <n v="50000"/>
        <n v="10000"/>
        <n v="8963"/>
        <n v="6509"/>
        <n v="6641"/>
        <n v="1940"/>
        <n v="5950"/>
        <n v="7957"/>
        <n v="8782"/>
        <n v="9642"/>
        <n v="12109"/>
        <n v="7149"/>
        <n v="6392"/>
        <n v="5014"/>
        <n v="8691"/>
        <n v="6026"/>
        <n v="10854"/>
        <n v="12734"/>
        <n v="10900"/>
        <n v="8713"/>
        <n v="14300"/>
        <n v="11845"/>
        <n v="8349"/>
        <n v="18000"/>
        <n v="11657"/>
        <n v="150000"/>
        <n v="95900"/>
        <n v="5500"/>
        <n v="15000"/>
        <n v="32300"/>
        <n v="35900"/>
        <n v="38000"/>
        <n v="6878"/>
        <n v="5446"/>
        <n v="7616"/>
        <n v="5718"/>
        <n v="6383"/>
        <n v="11670"/>
        <n v="8108"/>
        <n v="6675"/>
        <n v="65900"/>
        <n v="6189"/>
      </sharedItems>
    </cacheField>
    <cacheField name="Days (Date)" numFmtId="0" databaseField="0">
      <fieldGroup base="0">
        <rangePr groupBy="days" startDate="2022-10-01T00:00:00" endDate="2023-01-01T00:00:00"/>
        <groupItems count="368">
          <s v="&lt;10/1/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3"/>
        </groupItems>
      </fieldGroup>
    </cacheField>
    <cacheField name="Months (Date)" numFmtId="0" databaseField="0">
      <fieldGroup base="0">
        <rangePr groupBy="months" startDate="2022-10-01T00:00:00" endDate="2023-01-01T00:00:00"/>
        <groupItems count="14">
          <s v="&lt;10/1/2022"/>
          <s v="Jan"/>
          <s v="Feb"/>
          <s v="Mar"/>
          <s v="Apr"/>
          <s v="May"/>
          <s v="Jun"/>
          <s v="Jul"/>
          <s v="Aug"/>
          <s v="Sep"/>
          <s v="Oct"/>
          <s v="Nov"/>
          <s v="Dec"/>
          <s v="&gt;1/1/2023"/>
        </groupItems>
      </fieldGroup>
    </cacheField>
  </cacheFields>
  <extLst>
    <ext xmlns:x14="http://schemas.microsoft.com/office/spreadsheetml/2009/9/main" uri="{725AE2AE-9491-48be-B2B4-4EB974FC3084}">
      <x14:pivotCacheDefinition pivotCacheId="9013990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
  <r>
    <x v="0"/>
    <s v="Salary"/>
    <x v="0"/>
    <x v="0"/>
    <x v="0"/>
    <x v="0"/>
  </r>
  <r>
    <x v="0"/>
    <s v="Date night with Amiyah"/>
    <x v="1"/>
    <x v="1"/>
    <x v="0"/>
    <x v="1"/>
  </r>
  <r>
    <x v="1"/>
    <s v="Lunch at Shiro"/>
    <x v="2"/>
    <x v="1"/>
    <x v="1"/>
    <x v="2"/>
  </r>
  <r>
    <x v="2"/>
    <s v="10Alytics Training"/>
    <x v="3"/>
    <x v="1"/>
    <x v="1"/>
    <x v="3"/>
  </r>
  <r>
    <x v="3"/>
    <s v="Breakfast at KFC"/>
    <x v="2"/>
    <x v="1"/>
    <x v="0"/>
    <x v="4"/>
  </r>
  <r>
    <x v="4"/>
    <s v="Lunch at Chicken Republic"/>
    <x v="2"/>
    <x v="1"/>
    <x v="0"/>
    <x v="5"/>
  </r>
  <r>
    <x v="4"/>
    <s v="Tennis Racket"/>
    <x v="3"/>
    <x v="1"/>
    <x v="0"/>
    <x v="6"/>
  </r>
  <r>
    <x v="5"/>
    <s v="Night at club"/>
    <x v="1"/>
    <x v="1"/>
    <x v="1"/>
    <x v="7"/>
  </r>
  <r>
    <x v="6"/>
    <s v="Coffee at Starbucks"/>
    <x v="2"/>
    <x v="1"/>
    <x v="1"/>
    <x v="8"/>
  </r>
  <r>
    <x v="7"/>
    <s v="Petrol for car"/>
    <x v="4"/>
    <x v="1"/>
    <x v="0"/>
    <x v="9"/>
  </r>
  <r>
    <x v="8"/>
    <s v="Gym subscription"/>
    <x v="3"/>
    <x v="1"/>
    <x v="1"/>
    <x v="10"/>
  </r>
  <r>
    <x v="8"/>
    <s v="McDonald's brunch"/>
    <x v="2"/>
    <x v="1"/>
    <x v="1"/>
    <x v="11"/>
  </r>
  <r>
    <x v="9"/>
    <s v="Spotify subscription"/>
    <x v="1"/>
    <x v="1"/>
    <x v="0"/>
    <x v="12"/>
  </r>
  <r>
    <x v="10"/>
    <s v="Lunch at Buzz"/>
    <x v="2"/>
    <x v="1"/>
    <x v="1"/>
    <x v="13"/>
  </r>
  <r>
    <x v="10"/>
    <s v="Petrol for car"/>
    <x v="4"/>
    <x v="1"/>
    <x v="1"/>
    <x v="14"/>
  </r>
  <r>
    <x v="10"/>
    <s v="Mainland Block Party"/>
    <x v="1"/>
    <x v="1"/>
    <x v="0"/>
    <x v="15"/>
  </r>
  <r>
    <x v="11"/>
    <s v="2 shirts and 4 trousers"/>
    <x v="5"/>
    <x v="1"/>
    <x v="1"/>
    <x v="16"/>
  </r>
  <r>
    <x v="11"/>
    <s v="House Rent"/>
    <x v="4"/>
    <x v="1"/>
    <x v="1"/>
    <x v="17"/>
  </r>
  <r>
    <x v="12"/>
    <s v="Internet and Phone Subscription"/>
    <x v="4"/>
    <x v="1"/>
    <x v="0"/>
    <x v="18"/>
  </r>
  <r>
    <x v="12"/>
    <s v="Coffee at Buzz"/>
    <x v="2"/>
    <x v="1"/>
    <x v="1"/>
    <x v="19"/>
  </r>
  <r>
    <x v="13"/>
    <s v="Movie at cinema"/>
    <x v="1"/>
    <x v="1"/>
    <x v="0"/>
    <x v="20"/>
  </r>
  <r>
    <x v="14"/>
    <s v="Grocery shopping"/>
    <x v="2"/>
    <x v="1"/>
    <x v="0"/>
    <x v="21"/>
  </r>
  <r>
    <x v="15"/>
    <s v="Microsoft Office Purchase"/>
    <x v="3"/>
    <x v="1"/>
    <x v="0"/>
    <x v="22"/>
  </r>
  <r>
    <x v="16"/>
    <s v="Salary"/>
    <x v="0"/>
    <x v="0"/>
    <x v="0"/>
    <x v="0"/>
  </r>
  <r>
    <x v="17"/>
    <s v="Coffee at Starbucks"/>
    <x v="2"/>
    <x v="1"/>
    <x v="1"/>
    <x v="23"/>
  </r>
  <r>
    <x v="18"/>
    <s v="Breakfast at Chicken Republic"/>
    <x v="2"/>
    <x v="1"/>
    <x v="1"/>
    <x v="24"/>
  </r>
  <r>
    <x v="19"/>
    <s v="Grocery shopping"/>
    <x v="2"/>
    <x v="1"/>
    <x v="1"/>
    <x v="25"/>
  </r>
  <r>
    <x v="20"/>
    <s v="Deodorant and Perfume purchase"/>
    <x v="4"/>
    <x v="1"/>
    <x v="1"/>
    <x v="26"/>
  </r>
  <r>
    <x v="21"/>
    <s v="Grocery shopping"/>
    <x v="2"/>
    <x v="1"/>
    <x v="1"/>
    <x v="27"/>
  </r>
  <r>
    <x v="22"/>
    <s v="Birthday party"/>
    <x v="1"/>
    <x v="1"/>
    <x v="0"/>
    <x v="28"/>
  </r>
  <r>
    <x v="22"/>
    <s v="Petrol for car"/>
    <x v="4"/>
    <x v="1"/>
    <x v="0"/>
    <x v="29"/>
  </r>
  <r>
    <x v="23"/>
    <s v="Petrol for car"/>
    <x v="4"/>
    <x v="1"/>
    <x v="1"/>
    <x v="30"/>
  </r>
  <r>
    <x v="24"/>
    <s v="Grocery shopping"/>
    <x v="2"/>
    <x v="1"/>
    <x v="0"/>
    <x v="31"/>
  </r>
  <r>
    <x v="24"/>
    <s v="Udemy course"/>
    <x v="3"/>
    <x v="1"/>
    <x v="1"/>
    <x v="32"/>
  </r>
  <r>
    <x v="25"/>
    <s v="Gym subscription"/>
    <x v="3"/>
    <x v="1"/>
    <x v="0"/>
    <x v="10"/>
  </r>
  <r>
    <x v="26"/>
    <s v="Grocery shopping"/>
    <x v="2"/>
    <x v="1"/>
    <x v="1"/>
    <x v="33"/>
  </r>
  <r>
    <x v="26"/>
    <s v="Coffee at Starbucks"/>
    <x v="2"/>
    <x v="1"/>
    <x v="0"/>
    <x v="34"/>
  </r>
  <r>
    <x v="26"/>
    <s v="Grocery shopping"/>
    <x v="2"/>
    <x v="1"/>
    <x v="0"/>
    <x v="35"/>
  </r>
  <r>
    <x v="27"/>
    <s v="Coffee at Starbucks"/>
    <x v="2"/>
    <x v="1"/>
    <x v="0"/>
    <x v="36"/>
  </r>
  <r>
    <x v="28"/>
    <s v="Spotify subscription"/>
    <x v="1"/>
    <x v="1"/>
    <x v="0"/>
    <x v="12"/>
  </r>
  <r>
    <x v="29"/>
    <s v="House Rent"/>
    <x v="4"/>
    <x v="1"/>
    <x v="0"/>
    <x v="17"/>
  </r>
  <r>
    <x v="30"/>
    <s v="Internet and Phone Subscription"/>
    <x v="4"/>
    <x v="1"/>
    <x v="1"/>
    <x v="18"/>
  </r>
  <r>
    <x v="31"/>
    <s v="Sneakers purchase"/>
    <x v="5"/>
    <x v="1"/>
    <x v="1"/>
    <x v="37"/>
  </r>
  <r>
    <x v="31"/>
    <s v="Business School Training"/>
    <x v="3"/>
    <x v="1"/>
    <x v="0"/>
    <x v="38"/>
  </r>
  <r>
    <x v="32"/>
    <s v="Breakfast at KFC"/>
    <x v="2"/>
    <x v="1"/>
    <x v="1"/>
    <x v="39"/>
  </r>
  <r>
    <x v="33"/>
    <s v="New books purchase"/>
    <x v="3"/>
    <x v="1"/>
    <x v="0"/>
    <x v="40"/>
  </r>
  <r>
    <x v="33"/>
    <s v="Shawarma at Yaba - Lunch"/>
    <x v="2"/>
    <x v="1"/>
    <x v="0"/>
    <x v="41"/>
  </r>
  <r>
    <x v="33"/>
    <s v="Microsoft Office Purchase"/>
    <x v="3"/>
    <x v="1"/>
    <x v="1"/>
    <x v="22"/>
  </r>
  <r>
    <x v="34"/>
    <s v="Salary"/>
    <x v="0"/>
    <x v="0"/>
    <x v="0"/>
    <x v="0"/>
  </r>
  <r>
    <x v="34"/>
    <s v="Christmas bonus"/>
    <x v="0"/>
    <x v="0"/>
    <x v="0"/>
    <x v="42"/>
  </r>
  <r>
    <x v="35"/>
    <s v="Interest from Investment"/>
    <x v="0"/>
    <x v="0"/>
    <x v="0"/>
    <x v="43"/>
  </r>
  <r>
    <x v="36"/>
    <s v="Davido's concert"/>
    <x v="1"/>
    <x v="1"/>
    <x v="1"/>
    <x v="18"/>
  </r>
  <r>
    <x v="37"/>
    <s v="Games Night contribution"/>
    <x v="1"/>
    <x v="1"/>
    <x v="0"/>
    <x v="44"/>
  </r>
  <r>
    <x v="37"/>
    <s v="Boat cruise"/>
    <x v="1"/>
    <x v="1"/>
    <x v="0"/>
    <x v="45"/>
  </r>
  <r>
    <x v="38"/>
    <s v="Christmas house decoration"/>
    <x v="4"/>
    <x v="1"/>
    <x v="0"/>
    <x v="46"/>
  </r>
  <r>
    <x v="39"/>
    <s v="Apple watch purchase"/>
    <x v="1"/>
    <x v="1"/>
    <x v="1"/>
    <x v="47"/>
  </r>
  <r>
    <x v="39"/>
    <s v="2 shirts and 4 trousers"/>
    <x v="5"/>
    <x v="1"/>
    <x v="0"/>
    <x v="48"/>
  </r>
  <r>
    <x v="40"/>
    <s v="Grocery shopping"/>
    <x v="2"/>
    <x v="1"/>
    <x v="1"/>
    <x v="49"/>
  </r>
  <r>
    <x v="41"/>
    <s v="Grocery shopping"/>
    <x v="2"/>
    <x v="1"/>
    <x v="1"/>
    <x v="50"/>
  </r>
  <r>
    <x v="41"/>
    <s v="Gym subscription"/>
    <x v="3"/>
    <x v="1"/>
    <x v="0"/>
    <x v="10"/>
  </r>
  <r>
    <x v="42"/>
    <s v="Grocery shopping"/>
    <x v="2"/>
    <x v="1"/>
    <x v="1"/>
    <x v="51"/>
  </r>
  <r>
    <x v="42"/>
    <s v="Spotify subscription"/>
    <x v="1"/>
    <x v="1"/>
    <x v="1"/>
    <x v="12"/>
  </r>
  <r>
    <x v="43"/>
    <s v="Dinner at Eko Hotel"/>
    <x v="1"/>
    <x v="1"/>
    <x v="1"/>
    <x v="52"/>
  </r>
  <r>
    <x v="44"/>
    <s v="House Rent"/>
    <x v="4"/>
    <x v="1"/>
    <x v="0"/>
    <x v="17"/>
  </r>
  <r>
    <x v="45"/>
    <s v="Internet and Phone Subscription"/>
    <x v="4"/>
    <x v="1"/>
    <x v="1"/>
    <x v="18"/>
  </r>
  <r>
    <x v="45"/>
    <s v="Lunch at Kapadoccia"/>
    <x v="2"/>
    <x v="1"/>
    <x v="0"/>
    <x v="53"/>
  </r>
  <r>
    <x v="46"/>
    <s v="Petrol for car"/>
    <x v="4"/>
    <x v="1"/>
    <x v="0"/>
    <x v="54"/>
  </r>
  <r>
    <x v="46"/>
    <s v="Coffee at Starbucks"/>
    <x v="2"/>
    <x v="1"/>
    <x v="0"/>
    <x v="55"/>
  </r>
  <r>
    <x v="47"/>
    <s v="Coffee at Starbucks"/>
    <x v="2"/>
    <x v="1"/>
    <x v="0"/>
    <x v="56"/>
  </r>
  <r>
    <x v="47"/>
    <s v="Night at club"/>
    <x v="1"/>
    <x v="1"/>
    <x v="0"/>
    <x v="57"/>
  </r>
  <r>
    <x v="48"/>
    <s v="Laptop Repair"/>
    <x v="4"/>
    <x v="1"/>
    <x v="1"/>
    <x v="58"/>
  </r>
  <r>
    <x v="49"/>
    <s v="Microsoft Office Purchase"/>
    <x v="3"/>
    <x v="1"/>
    <x v="0"/>
    <x v="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76B48F-F910-4553-807A-2EFC22D57AB9}" name="PivotTable3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Expense_Category">
  <location ref="A3:B9" firstHeaderRow="1" firstDataRow="1" firstDataCol="1" rowPageCount="1" colPageCount="1"/>
  <pivotFields count="8">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axis="axisRow" showAll="0" sortType="descending">
      <items count="7">
        <item x="5"/>
        <item x="1"/>
        <item x="2"/>
        <item x="4"/>
        <item x="0"/>
        <item x="3"/>
        <item t="default"/>
      </items>
      <autoSortScope>
        <pivotArea dataOnly="0" outline="0" fieldPosition="0">
          <references count="1">
            <reference field="4294967294" count="1" selected="0">
              <x v="0"/>
            </reference>
          </references>
        </pivotArea>
      </autoSortScope>
    </pivotField>
    <pivotField axis="axisPage" showAll="0">
      <items count="3">
        <item x="1"/>
        <item x="0"/>
        <item t="default"/>
      </items>
    </pivotField>
    <pivotField showAll="0">
      <items count="3">
        <item h="1" x="1"/>
        <item x="0"/>
        <item t="default"/>
      </items>
    </pivotField>
    <pivotField dataField="1" showAll="0">
      <items count="60">
        <item x="22"/>
        <item x="12"/>
        <item x="30"/>
        <item x="15"/>
        <item x="7"/>
        <item x="8"/>
        <item x="2"/>
        <item x="50"/>
        <item x="44"/>
        <item x="52"/>
        <item x="23"/>
        <item x="32"/>
        <item x="58"/>
        <item x="53"/>
        <item x="29"/>
        <item x="20"/>
        <item x="6"/>
        <item x="21"/>
        <item x="56"/>
        <item x="14"/>
        <item x="49"/>
        <item x="1"/>
        <item x="28"/>
        <item x="9"/>
        <item x="51"/>
        <item x="5"/>
        <item x="24"/>
        <item x="55"/>
        <item x="39"/>
        <item x="11"/>
        <item x="13"/>
        <item x="31"/>
        <item x="36"/>
        <item x="25"/>
        <item x="4"/>
        <item x="19"/>
        <item x="26"/>
        <item x="10"/>
        <item x="18"/>
        <item x="33"/>
        <item x="35"/>
        <item x="41"/>
        <item x="54"/>
        <item x="38"/>
        <item x="27"/>
        <item x="34"/>
        <item x="37"/>
        <item x="45"/>
        <item x="16"/>
        <item x="40"/>
        <item x="46"/>
        <item x="47"/>
        <item x="48"/>
        <item x="17"/>
        <item x="3"/>
        <item x="57"/>
        <item x="43"/>
        <item x="4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v="3"/>
    </i>
    <i>
      <x v="2"/>
    </i>
    <i>
      <x v="1"/>
    </i>
    <i>
      <x v="5"/>
    </i>
    <i>
      <x/>
    </i>
    <i t="grand">
      <x/>
    </i>
  </rowItems>
  <colItems count="1">
    <i/>
  </colItems>
  <pageFields count="1">
    <pageField fld="3" item="0" hier="-1"/>
  </pageFields>
  <dataFields count="1">
    <dataField name="Sum of Amount" fld="5" baseField="0" baseItem="0" numFmtId="164"/>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B0FF6C-8C2C-4179-A51E-3F7AE1771CF3}" name="PivotTable3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Category">
  <location ref="A3:B10" firstHeaderRow="1" firstDataRow="1" firstDataCol="1" rowPageCount="1" colPageCount="1"/>
  <pivotFields count="8">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axis="axisRow" showAll="0" sortType="ascending">
      <items count="7">
        <item x="5"/>
        <item x="1"/>
        <item x="2"/>
        <item x="4"/>
        <item x="0"/>
        <item x="3"/>
        <item t="default"/>
      </items>
      <autoSortScope>
        <pivotArea dataOnly="0" outline="0" fieldPosition="0">
          <references count="1">
            <reference field="4294967294" count="1" selected="0">
              <x v="0"/>
            </reference>
          </references>
        </pivotArea>
      </autoSortScope>
    </pivotField>
    <pivotField axis="axisPage" showAll="0">
      <items count="3">
        <item x="1"/>
        <item x="0"/>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7">
    <i>
      <x/>
    </i>
    <i>
      <x v="4"/>
    </i>
    <i>
      <x v="5"/>
    </i>
    <i>
      <x v="3"/>
    </i>
    <i>
      <x v="1"/>
    </i>
    <i>
      <x v="2"/>
    </i>
    <i t="grand">
      <x/>
    </i>
  </rowItems>
  <colItems count="1">
    <i/>
  </colItems>
  <pageFields count="1">
    <pageField fld="3" hier="-1"/>
  </pageFields>
  <dataFields count="1">
    <dataField name="Count of Amount" fld="5" subtotal="count" baseField="2" baseItem="0"/>
  </dataFields>
  <chartFormats count="2">
    <chartFormat chart="0"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921FCE-C808-49D1-AC70-F0F2746D5827}" name="PivotTable3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Fund Class">
  <location ref="A3:B6" firstHeaderRow="1" firstDataRow="1" firstDataCol="1"/>
  <pivotFields count="8">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axis="axisRow" showAll="0">
      <items count="3">
        <item x="1"/>
        <item x="0"/>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Sum of Amount" fld="5"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3" count="1" selected="0">
            <x v="0"/>
          </reference>
        </references>
      </pivotArea>
    </chartFormat>
    <chartFormat chart="9"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526132-8AB3-42F4-AB3E-8FA0DB84811A}" name="PivotTable3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nth">
  <location ref="A3:B7" firstHeaderRow="1" firstDataRow="1" firstDataCol="1" rowPageCount="1" colPageCount="1"/>
  <pivotFields count="8">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axis="axisPage" showAll="0">
      <items count="3">
        <item x="1"/>
        <item x="0"/>
        <item t="default"/>
      </items>
    </pivotField>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a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1">
    <field x="7"/>
  </rowFields>
  <rowItems count="4">
    <i>
      <x v="10"/>
    </i>
    <i>
      <x v="11"/>
    </i>
    <i>
      <x v="12"/>
    </i>
    <i t="grand">
      <x/>
    </i>
  </rowItems>
  <colItems count="1">
    <i/>
  </colItems>
  <pageFields count="1">
    <pageField fld="3" hier="-1"/>
  </pageFields>
  <dataFields count="1">
    <dataField name="Sum of Amount" fld="5" baseField="0" baseItem="0" numFmtId="165"/>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3B6E4E3-77A2-4C41-95F8-30EEF0B3948C}" sourceName="Category">
  <pivotTables>
    <pivotTable tabId="12" name="PivotTable34"/>
  </pivotTables>
  <data>
    <tabular pivotCacheId="901399050">
      <items count="6">
        <i x="5" s="1"/>
        <i x="1" s="1"/>
        <i x="2" s="1"/>
        <i x="4" s="1"/>
        <i x="3" s="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d_Class" xr10:uid="{DAA50AF1-1F49-4C8B-8D52-C11E89EB1366}" sourceName="Fund Class">
  <pivotTables>
    <pivotTable tabId="12" name="PivotTable34"/>
  </pivotTables>
  <data>
    <tabular pivotCacheId="901399050">
      <items count="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27E990DD-B160-4D9E-AD08-C603398321F6}" sourceName="Months (Date)">
  <pivotTables>
    <pivotTable tabId="12" name="PivotTable34"/>
    <pivotTable tabId="13" name="PivotTable35"/>
    <pivotTable tabId="14" name="PivotTable36"/>
    <pivotTable tabId="15" name="PivotTable37"/>
  </pivotTables>
  <data>
    <tabular pivotCacheId="901399050">
      <items count="14">
        <i x="10" s="1"/>
        <i x="11" s="1"/>
        <i x="12" s="1"/>
        <i x="1" s="1" nd="1"/>
        <i x="2" s="1" nd="1"/>
        <i x="3" s="1" nd="1"/>
        <i x="4" s="1" nd="1"/>
        <i x="5" s="1" nd="1"/>
        <i x="6" s="1" nd="1"/>
        <i x="7" s="1" nd="1"/>
        <i x="8" s="1" nd="1"/>
        <i x="9"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A489210-95C4-44BB-A147-DE238C2ED8A2}" cache="Slicer_Category" caption="Category" style="SlicerStyleDark5 2" rowHeight="234950"/>
  <slicer name="Fund Class" xr10:uid="{6D76D567-9D1A-400F-B2B2-93770D23745E}" cache="Slicer_Fund_Class" caption="Fund Class" style="SlicerStyleDark5 2" rowHeight="234950"/>
  <slicer name="Months (Date)" xr10:uid="{BBAA5945-50C3-44FC-9FCF-8034E3253D5E}" cache="Slicer_Months__Date" caption="Months (Date)" style="SlicerStyleDark5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DB5E9F-D48C-42E7-A2CB-5ABD200859FC}" name="Table3" displayName="Table3" ref="A1:F73" totalsRowShown="0">
  <autoFilter ref="A1:F73" xr:uid="{58DB5E9F-D48C-42E7-A2CB-5ABD200859FC}"/>
  <tableColumns count="6">
    <tableColumn id="1" xr3:uid="{7A0A1AE9-6C47-4925-A561-A0CBC358F712}" name="Date" dataDxfId="7"/>
    <tableColumn id="2" xr3:uid="{42500FDD-C1EB-47B8-AD7D-EE9702F97C16}" name="Description" dataDxfId="6"/>
    <tableColumn id="3" xr3:uid="{1307EFCA-E746-4470-9C04-5345337497F7}" name="Category" dataDxfId="5"/>
    <tableColumn id="4" xr3:uid="{A4502F18-EB8F-4023-BDB0-597D18B8D267}" name="Fund Class" dataDxfId="4"/>
    <tableColumn id="5" xr3:uid="{49C57098-5219-47F4-A446-5B385325DEE2}" name="Payment Method" dataDxfId="3"/>
    <tableColumn id="6" xr3:uid="{C3D8AC8A-C509-40ED-8D9D-3971A73289E6}" name="Amount"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0850A-5D5A-4A7C-B5C2-D9B70F565AE8}">
  <dimension ref="A9"/>
  <sheetViews>
    <sheetView tabSelected="1" zoomScale="68" workbookViewId="0">
      <selection activeCell="AB20" sqref="AB20"/>
    </sheetView>
  </sheetViews>
  <sheetFormatPr defaultRowHeight="14.4" x14ac:dyDescent="0.3"/>
  <cols>
    <col min="1" max="16384" width="8.88671875" style="7"/>
  </cols>
  <sheetData>
    <row r="9" s="7"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9CE33-63BE-4859-B222-22A97A1E69E7}">
  <dimension ref="A1:F73"/>
  <sheetViews>
    <sheetView zoomScale="104" workbookViewId="0">
      <selection activeCell="I7" sqref="I7"/>
    </sheetView>
  </sheetViews>
  <sheetFormatPr defaultRowHeight="14.4" x14ac:dyDescent="0.3"/>
  <cols>
    <col min="1" max="1" width="11" bestFit="1" customWidth="1"/>
    <col min="2" max="2" width="28.77734375" bestFit="1" customWidth="1"/>
    <col min="3" max="3" width="19.5546875" bestFit="1" customWidth="1"/>
    <col min="4" max="4" width="12" bestFit="1" customWidth="1"/>
    <col min="5" max="5" width="18.109375" bestFit="1" customWidth="1"/>
  </cols>
  <sheetData>
    <row r="1" spans="1:6" x14ac:dyDescent="0.3">
      <c r="A1" t="s">
        <v>0</v>
      </c>
      <c r="B1" t="s">
        <v>1</v>
      </c>
      <c r="C1" t="s">
        <v>2</v>
      </c>
      <c r="D1" t="s">
        <v>3</v>
      </c>
      <c r="E1" t="s">
        <v>4</v>
      </c>
      <c r="F1" t="s">
        <v>5</v>
      </c>
    </row>
    <row r="2" spans="1:6" x14ac:dyDescent="0.3">
      <c r="A2" s="1">
        <v>44835</v>
      </c>
      <c r="B2" t="s">
        <v>6</v>
      </c>
      <c r="C2" t="s">
        <v>7</v>
      </c>
      <c r="D2" t="s">
        <v>7</v>
      </c>
      <c r="E2" t="s">
        <v>8</v>
      </c>
      <c r="F2">
        <v>400000</v>
      </c>
    </row>
    <row r="3" spans="1:6" x14ac:dyDescent="0.3">
      <c r="A3" s="1">
        <v>44835</v>
      </c>
      <c r="B3" t="s">
        <v>9</v>
      </c>
      <c r="C3" t="s">
        <v>10</v>
      </c>
      <c r="D3" t="s">
        <v>11</v>
      </c>
      <c r="E3" t="s">
        <v>8</v>
      </c>
      <c r="F3">
        <v>7092</v>
      </c>
    </row>
    <row r="4" spans="1:6" x14ac:dyDescent="0.3">
      <c r="A4" s="1">
        <v>44836</v>
      </c>
      <c r="B4" t="s">
        <v>12</v>
      </c>
      <c r="C4" t="s">
        <v>13</v>
      </c>
      <c r="D4" t="s">
        <v>11</v>
      </c>
      <c r="E4" t="s">
        <v>14</v>
      </c>
      <c r="F4">
        <v>5403</v>
      </c>
    </row>
    <row r="5" spans="1:6" x14ac:dyDescent="0.3">
      <c r="A5" s="1">
        <v>44837</v>
      </c>
      <c r="B5" t="s">
        <v>15</v>
      </c>
      <c r="C5" t="s">
        <v>16</v>
      </c>
      <c r="D5" t="s">
        <v>11</v>
      </c>
      <c r="E5" t="s">
        <v>14</v>
      </c>
      <c r="F5">
        <v>60000</v>
      </c>
    </row>
    <row r="6" spans="1:6" x14ac:dyDescent="0.3">
      <c r="A6" s="1">
        <v>44842</v>
      </c>
      <c r="B6" t="s">
        <v>17</v>
      </c>
      <c r="C6" t="s">
        <v>13</v>
      </c>
      <c r="D6" t="s">
        <v>11</v>
      </c>
      <c r="E6" t="s">
        <v>8</v>
      </c>
      <c r="F6">
        <v>8844</v>
      </c>
    </row>
    <row r="7" spans="1:6" x14ac:dyDescent="0.3">
      <c r="A7" s="1">
        <v>44843</v>
      </c>
      <c r="B7" t="s">
        <v>18</v>
      </c>
      <c r="C7" t="s">
        <v>13</v>
      </c>
      <c r="D7" t="s">
        <v>11</v>
      </c>
      <c r="E7" t="s">
        <v>8</v>
      </c>
      <c r="F7">
        <v>7752</v>
      </c>
    </row>
    <row r="8" spans="1:6" x14ac:dyDescent="0.3">
      <c r="A8" s="1">
        <v>44843</v>
      </c>
      <c r="B8" t="s">
        <v>19</v>
      </c>
      <c r="C8" t="s">
        <v>16</v>
      </c>
      <c r="D8" t="s">
        <v>11</v>
      </c>
      <c r="E8" t="s">
        <v>8</v>
      </c>
      <c r="F8">
        <v>6621</v>
      </c>
    </row>
    <row r="9" spans="1:6" x14ac:dyDescent="0.3">
      <c r="A9" s="1">
        <v>44844</v>
      </c>
      <c r="B9" t="s">
        <v>20</v>
      </c>
      <c r="C9" t="s">
        <v>10</v>
      </c>
      <c r="D9" t="s">
        <v>11</v>
      </c>
      <c r="E9" t="s">
        <v>14</v>
      </c>
      <c r="F9">
        <v>5347</v>
      </c>
    </row>
    <row r="10" spans="1:6" x14ac:dyDescent="0.3">
      <c r="A10" s="1">
        <v>44845</v>
      </c>
      <c r="B10" t="s">
        <v>21</v>
      </c>
      <c r="C10" t="s">
        <v>13</v>
      </c>
      <c r="D10" t="s">
        <v>11</v>
      </c>
      <c r="E10" t="s">
        <v>14</v>
      </c>
      <c r="F10">
        <v>5366</v>
      </c>
    </row>
    <row r="11" spans="1:6" x14ac:dyDescent="0.3">
      <c r="A11" s="1">
        <v>44850</v>
      </c>
      <c r="B11" t="s">
        <v>22</v>
      </c>
      <c r="C11" t="s">
        <v>23</v>
      </c>
      <c r="D11" t="s">
        <v>11</v>
      </c>
      <c r="E11" t="s">
        <v>8</v>
      </c>
      <c r="F11">
        <v>7449</v>
      </c>
    </row>
    <row r="12" spans="1:6" x14ac:dyDescent="0.3">
      <c r="A12" s="1">
        <v>44853</v>
      </c>
      <c r="B12" t="s">
        <v>24</v>
      </c>
      <c r="C12" t="s">
        <v>16</v>
      </c>
      <c r="D12" t="s">
        <v>11</v>
      </c>
      <c r="E12" t="s">
        <v>14</v>
      </c>
      <c r="F12">
        <v>9800</v>
      </c>
    </row>
    <row r="13" spans="1:6" x14ac:dyDescent="0.3">
      <c r="A13" s="1">
        <v>44853</v>
      </c>
      <c r="B13" t="s">
        <v>25</v>
      </c>
      <c r="C13" t="s">
        <v>13</v>
      </c>
      <c r="D13" t="s">
        <v>11</v>
      </c>
      <c r="E13" t="s">
        <v>14</v>
      </c>
      <c r="F13">
        <v>8492</v>
      </c>
    </row>
    <row r="14" spans="1:6" x14ac:dyDescent="0.3">
      <c r="A14" s="1">
        <v>44854</v>
      </c>
      <c r="B14" t="s">
        <v>26</v>
      </c>
      <c r="C14" t="s">
        <v>10</v>
      </c>
      <c r="D14" t="s">
        <v>11</v>
      </c>
      <c r="E14" t="s">
        <v>8</v>
      </c>
      <c r="F14">
        <v>4300</v>
      </c>
    </row>
    <row r="15" spans="1:6" x14ac:dyDescent="0.3">
      <c r="A15" s="1">
        <v>44858</v>
      </c>
      <c r="B15" t="s">
        <v>27</v>
      </c>
      <c r="C15" t="s">
        <v>13</v>
      </c>
      <c r="D15" t="s">
        <v>11</v>
      </c>
      <c r="E15" t="s">
        <v>14</v>
      </c>
      <c r="F15">
        <v>8647</v>
      </c>
    </row>
    <row r="16" spans="1:6" x14ac:dyDescent="0.3">
      <c r="A16" s="1">
        <v>44858</v>
      </c>
      <c r="B16" t="s">
        <v>22</v>
      </c>
      <c r="C16" t="s">
        <v>23</v>
      </c>
      <c r="D16" t="s">
        <v>11</v>
      </c>
      <c r="E16" t="s">
        <v>14</v>
      </c>
      <c r="F16">
        <v>6714</v>
      </c>
    </row>
    <row r="17" spans="1:6" x14ac:dyDescent="0.3">
      <c r="A17" s="1">
        <v>44858</v>
      </c>
      <c r="B17" t="s">
        <v>28</v>
      </c>
      <c r="C17" t="s">
        <v>10</v>
      </c>
      <c r="D17" t="s">
        <v>11</v>
      </c>
      <c r="E17" t="s">
        <v>8</v>
      </c>
      <c r="F17">
        <v>5079</v>
      </c>
    </row>
    <row r="18" spans="1:6" x14ac:dyDescent="0.3">
      <c r="A18" s="1">
        <v>44859</v>
      </c>
      <c r="B18" t="s">
        <v>29</v>
      </c>
      <c r="C18" t="s">
        <v>30</v>
      </c>
      <c r="D18" t="s">
        <v>11</v>
      </c>
      <c r="E18" t="s">
        <v>14</v>
      </c>
      <c r="F18">
        <v>17600</v>
      </c>
    </row>
    <row r="19" spans="1:6" x14ac:dyDescent="0.3">
      <c r="A19" s="1">
        <v>44859</v>
      </c>
      <c r="B19" t="s">
        <v>31</v>
      </c>
      <c r="C19" t="s">
        <v>23</v>
      </c>
      <c r="D19" t="s">
        <v>11</v>
      </c>
      <c r="E19" t="s">
        <v>14</v>
      </c>
      <c r="F19">
        <v>50000</v>
      </c>
    </row>
    <row r="20" spans="1:6" x14ac:dyDescent="0.3">
      <c r="A20" s="1">
        <v>44860</v>
      </c>
      <c r="B20" t="s">
        <v>32</v>
      </c>
      <c r="C20" t="s">
        <v>23</v>
      </c>
      <c r="D20" t="s">
        <v>11</v>
      </c>
      <c r="E20" t="s">
        <v>8</v>
      </c>
      <c r="F20">
        <v>10000</v>
      </c>
    </row>
    <row r="21" spans="1:6" x14ac:dyDescent="0.3">
      <c r="A21" s="1">
        <v>44860</v>
      </c>
      <c r="B21" t="s">
        <v>33</v>
      </c>
      <c r="C21" t="s">
        <v>13</v>
      </c>
      <c r="D21" t="s">
        <v>11</v>
      </c>
      <c r="E21" t="s">
        <v>14</v>
      </c>
      <c r="F21">
        <v>8963</v>
      </c>
    </row>
    <row r="22" spans="1:6" x14ac:dyDescent="0.3">
      <c r="A22" s="1">
        <v>44861</v>
      </c>
      <c r="B22" t="s">
        <v>34</v>
      </c>
      <c r="C22" t="s">
        <v>10</v>
      </c>
      <c r="D22" t="s">
        <v>11</v>
      </c>
      <c r="E22" t="s">
        <v>8</v>
      </c>
      <c r="F22">
        <v>6509</v>
      </c>
    </row>
    <row r="23" spans="1:6" x14ac:dyDescent="0.3">
      <c r="A23" s="1">
        <v>44862</v>
      </c>
      <c r="B23" t="s">
        <v>35</v>
      </c>
      <c r="C23" t="s">
        <v>13</v>
      </c>
      <c r="D23" t="s">
        <v>11</v>
      </c>
      <c r="E23" t="s">
        <v>8</v>
      </c>
      <c r="F23">
        <v>6641</v>
      </c>
    </row>
    <row r="24" spans="1:6" x14ac:dyDescent="0.3">
      <c r="A24" s="1">
        <v>44864</v>
      </c>
      <c r="B24" t="s">
        <v>36</v>
      </c>
      <c r="C24" t="s">
        <v>16</v>
      </c>
      <c r="D24" t="s">
        <v>11</v>
      </c>
      <c r="E24" t="s">
        <v>8</v>
      </c>
      <c r="F24">
        <v>1940</v>
      </c>
    </row>
    <row r="25" spans="1:6" x14ac:dyDescent="0.3">
      <c r="A25" s="1">
        <v>44866</v>
      </c>
      <c r="B25" t="s">
        <v>6</v>
      </c>
      <c r="C25" t="s">
        <v>7</v>
      </c>
      <c r="D25" t="s">
        <v>7</v>
      </c>
      <c r="E25" t="s">
        <v>8</v>
      </c>
      <c r="F25">
        <v>400000</v>
      </c>
    </row>
    <row r="26" spans="1:6" x14ac:dyDescent="0.3">
      <c r="A26" s="1">
        <v>44869</v>
      </c>
      <c r="B26" t="s">
        <v>21</v>
      </c>
      <c r="C26" t="s">
        <v>13</v>
      </c>
      <c r="D26" t="s">
        <v>11</v>
      </c>
      <c r="E26" t="s">
        <v>14</v>
      </c>
      <c r="F26">
        <v>5950</v>
      </c>
    </row>
    <row r="27" spans="1:6" x14ac:dyDescent="0.3">
      <c r="A27" s="1">
        <v>44872</v>
      </c>
      <c r="B27" t="s">
        <v>37</v>
      </c>
      <c r="C27" t="s">
        <v>13</v>
      </c>
      <c r="D27" t="s">
        <v>11</v>
      </c>
      <c r="E27" t="s">
        <v>14</v>
      </c>
      <c r="F27">
        <v>7957</v>
      </c>
    </row>
    <row r="28" spans="1:6" x14ac:dyDescent="0.3">
      <c r="A28" s="1">
        <v>44874</v>
      </c>
      <c r="B28" t="s">
        <v>35</v>
      </c>
      <c r="C28" t="s">
        <v>13</v>
      </c>
      <c r="D28" t="s">
        <v>11</v>
      </c>
      <c r="E28" t="s">
        <v>14</v>
      </c>
      <c r="F28">
        <v>8782</v>
      </c>
    </row>
    <row r="29" spans="1:6" x14ac:dyDescent="0.3">
      <c r="A29" s="1">
        <v>44875</v>
      </c>
      <c r="B29" t="s">
        <v>38</v>
      </c>
      <c r="C29" t="s">
        <v>23</v>
      </c>
      <c r="D29" t="s">
        <v>11</v>
      </c>
      <c r="E29" t="s">
        <v>14</v>
      </c>
      <c r="F29">
        <v>9642</v>
      </c>
    </row>
    <row r="30" spans="1:6" x14ac:dyDescent="0.3">
      <c r="A30" s="1">
        <v>44876</v>
      </c>
      <c r="B30" t="s">
        <v>35</v>
      </c>
      <c r="C30" t="s">
        <v>13</v>
      </c>
      <c r="D30" t="s">
        <v>11</v>
      </c>
      <c r="E30" t="s">
        <v>14</v>
      </c>
      <c r="F30">
        <v>12109</v>
      </c>
    </row>
    <row r="31" spans="1:6" x14ac:dyDescent="0.3">
      <c r="A31" s="1">
        <v>44878</v>
      </c>
      <c r="B31" t="s">
        <v>39</v>
      </c>
      <c r="C31" t="s">
        <v>10</v>
      </c>
      <c r="D31" t="s">
        <v>11</v>
      </c>
      <c r="E31" t="s">
        <v>8</v>
      </c>
      <c r="F31">
        <v>7149</v>
      </c>
    </row>
    <row r="32" spans="1:6" x14ac:dyDescent="0.3">
      <c r="A32" s="1">
        <v>44878</v>
      </c>
      <c r="B32" t="s">
        <v>22</v>
      </c>
      <c r="C32" t="s">
        <v>23</v>
      </c>
      <c r="D32" t="s">
        <v>11</v>
      </c>
      <c r="E32" t="s">
        <v>8</v>
      </c>
      <c r="F32">
        <v>6392</v>
      </c>
    </row>
    <row r="33" spans="1:6" x14ac:dyDescent="0.3">
      <c r="A33" s="1">
        <v>44881</v>
      </c>
      <c r="B33" t="s">
        <v>22</v>
      </c>
      <c r="C33" t="s">
        <v>23</v>
      </c>
      <c r="D33" t="s">
        <v>11</v>
      </c>
      <c r="E33" t="s">
        <v>14</v>
      </c>
      <c r="F33">
        <v>5014</v>
      </c>
    </row>
    <row r="34" spans="1:6" x14ac:dyDescent="0.3">
      <c r="A34" s="1">
        <v>44882</v>
      </c>
      <c r="B34" t="s">
        <v>35</v>
      </c>
      <c r="C34" t="s">
        <v>13</v>
      </c>
      <c r="D34" t="s">
        <v>11</v>
      </c>
      <c r="E34" t="s">
        <v>8</v>
      </c>
      <c r="F34">
        <v>8691</v>
      </c>
    </row>
    <row r="35" spans="1:6" x14ac:dyDescent="0.3">
      <c r="A35" s="1">
        <v>44882</v>
      </c>
      <c r="B35" t="s">
        <v>40</v>
      </c>
      <c r="C35" t="s">
        <v>16</v>
      </c>
      <c r="D35" t="s">
        <v>11</v>
      </c>
      <c r="E35" t="s">
        <v>14</v>
      </c>
      <c r="F35">
        <v>6026</v>
      </c>
    </row>
    <row r="36" spans="1:6" x14ac:dyDescent="0.3">
      <c r="A36" s="1">
        <v>44884</v>
      </c>
      <c r="B36" t="s">
        <v>24</v>
      </c>
      <c r="C36" t="s">
        <v>16</v>
      </c>
      <c r="D36" t="s">
        <v>11</v>
      </c>
      <c r="E36" t="s">
        <v>8</v>
      </c>
      <c r="F36">
        <v>9800</v>
      </c>
    </row>
    <row r="37" spans="1:6" x14ac:dyDescent="0.3">
      <c r="A37" s="1">
        <v>44885</v>
      </c>
      <c r="B37" t="s">
        <v>35</v>
      </c>
      <c r="C37" t="s">
        <v>13</v>
      </c>
      <c r="D37" t="s">
        <v>11</v>
      </c>
      <c r="E37" t="s">
        <v>14</v>
      </c>
      <c r="F37">
        <v>10854</v>
      </c>
    </row>
    <row r="38" spans="1:6" x14ac:dyDescent="0.3">
      <c r="A38" s="1">
        <v>44885</v>
      </c>
      <c r="B38" t="s">
        <v>21</v>
      </c>
      <c r="C38" t="s">
        <v>13</v>
      </c>
      <c r="D38" t="s">
        <v>11</v>
      </c>
      <c r="E38" t="s">
        <v>8</v>
      </c>
      <c r="F38">
        <v>12734</v>
      </c>
    </row>
    <row r="39" spans="1:6" x14ac:dyDescent="0.3">
      <c r="A39" s="1">
        <v>44885</v>
      </c>
      <c r="B39" t="s">
        <v>35</v>
      </c>
      <c r="C39" t="s">
        <v>13</v>
      </c>
      <c r="D39" t="s">
        <v>11</v>
      </c>
      <c r="E39" t="s">
        <v>8</v>
      </c>
      <c r="F39">
        <v>10900</v>
      </c>
    </row>
    <row r="40" spans="1:6" x14ac:dyDescent="0.3">
      <c r="A40" s="1">
        <v>44888</v>
      </c>
      <c r="B40" t="s">
        <v>21</v>
      </c>
      <c r="C40" t="s">
        <v>13</v>
      </c>
      <c r="D40" t="s">
        <v>11</v>
      </c>
      <c r="E40" t="s">
        <v>8</v>
      </c>
      <c r="F40">
        <v>8713</v>
      </c>
    </row>
    <row r="41" spans="1:6" x14ac:dyDescent="0.3">
      <c r="A41" s="1">
        <v>44889</v>
      </c>
      <c r="B41" t="s">
        <v>26</v>
      </c>
      <c r="C41" t="s">
        <v>10</v>
      </c>
      <c r="D41" t="s">
        <v>11</v>
      </c>
      <c r="E41" t="s">
        <v>8</v>
      </c>
      <c r="F41">
        <v>4300</v>
      </c>
    </row>
    <row r="42" spans="1:6" x14ac:dyDescent="0.3">
      <c r="A42" s="1">
        <v>44890</v>
      </c>
      <c r="B42" t="s">
        <v>31</v>
      </c>
      <c r="C42" t="s">
        <v>23</v>
      </c>
      <c r="D42" t="s">
        <v>11</v>
      </c>
      <c r="E42" t="s">
        <v>8</v>
      </c>
      <c r="F42">
        <v>50000</v>
      </c>
    </row>
    <row r="43" spans="1:6" x14ac:dyDescent="0.3">
      <c r="A43" s="1">
        <v>44891</v>
      </c>
      <c r="B43" t="s">
        <v>32</v>
      </c>
      <c r="C43" t="s">
        <v>23</v>
      </c>
      <c r="D43" t="s">
        <v>11</v>
      </c>
      <c r="E43" t="s">
        <v>14</v>
      </c>
      <c r="F43">
        <v>10000</v>
      </c>
    </row>
    <row r="44" spans="1:6" x14ac:dyDescent="0.3">
      <c r="A44" s="1">
        <v>44892</v>
      </c>
      <c r="B44" t="s">
        <v>41</v>
      </c>
      <c r="C44" t="s">
        <v>30</v>
      </c>
      <c r="D44" t="s">
        <v>11</v>
      </c>
      <c r="E44" t="s">
        <v>14</v>
      </c>
      <c r="F44">
        <v>14300</v>
      </c>
    </row>
    <row r="45" spans="1:6" x14ac:dyDescent="0.3">
      <c r="A45" s="1">
        <v>44892</v>
      </c>
      <c r="B45" t="s">
        <v>42</v>
      </c>
      <c r="C45" t="s">
        <v>16</v>
      </c>
      <c r="D45" t="s">
        <v>11</v>
      </c>
      <c r="E45" t="s">
        <v>8</v>
      </c>
      <c r="F45">
        <v>11845</v>
      </c>
    </row>
    <row r="46" spans="1:6" x14ac:dyDescent="0.3">
      <c r="A46" s="1">
        <v>44893</v>
      </c>
      <c r="B46" t="s">
        <v>17</v>
      </c>
      <c r="C46" t="s">
        <v>13</v>
      </c>
      <c r="D46" t="s">
        <v>11</v>
      </c>
      <c r="E46" t="s">
        <v>14</v>
      </c>
      <c r="F46">
        <v>8349</v>
      </c>
    </row>
    <row r="47" spans="1:6" x14ac:dyDescent="0.3">
      <c r="A47" s="1">
        <v>44895</v>
      </c>
      <c r="B47" t="s">
        <v>43</v>
      </c>
      <c r="C47" t="s">
        <v>16</v>
      </c>
      <c r="D47" t="s">
        <v>11</v>
      </c>
      <c r="E47" t="s">
        <v>8</v>
      </c>
      <c r="F47">
        <v>18000</v>
      </c>
    </row>
    <row r="48" spans="1:6" x14ac:dyDescent="0.3">
      <c r="A48" s="1">
        <v>44895</v>
      </c>
      <c r="B48" t="s">
        <v>44</v>
      </c>
      <c r="C48" t="s">
        <v>13</v>
      </c>
      <c r="D48" t="s">
        <v>11</v>
      </c>
      <c r="E48" t="s">
        <v>8</v>
      </c>
      <c r="F48">
        <v>11657</v>
      </c>
    </row>
    <row r="49" spans="1:6" x14ac:dyDescent="0.3">
      <c r="A49" s="1">
        <v>44895</v>
      </c>
      <c r="B49" t="s">
        <v>36</v>
      </c>
      <c r="C49" t="s">
        <v>16</v>
      </c>
      <c r="D49" t="s">
        <v>11</v>
      </c>
      <c r="E49" t="s">
        <v>14</v>
      </c>
      <c r="F49">
        <v>1940</v>
      </c>
    </row>
    <row r="50" spans="1:6" x14ac:dyDescent="0.3">
      <c r="A50" s="1">
        <v>44896</v>
      </c>
      <c r="B50" t="s">
        <v>6</v>
      </c>
      <c r="C50" t="s">
        <v>7</v>
      </c>
      <c r="D50" t="s">
        <v>7</v>
      </c>
      <c r="E50" t="s">
        <v>8</v>
      </c>
      <c r="F50">
        <v>400000</v>
      </c>
    </row>
    <row r="51" spans="1:6" x14ac:dyDescent="0.3">
      <c r="A51" s="1">
        <v>44896</v>
      </c>
      <c r="B51" t="s">
        <v>45</v>
      </c>
      <c r="C51" t="s">
        <v>7</v>
      </c>
      <c r="D51" t="s">
        <v>7</v>
      </c>
      <c r="E51" t="s">
        <v>8</v>
      </c>
      <c r="F51">
        <v>150000</v>
      </c>
    </row>
    <row r="52" spans="1:6" x14ac:dyDescent="0.3">
      <c r="A52" s="1">
        <v>44897</v>
      </c>
      <c r="B52" t="s">
        <v>46</v>
      </c>
      <c r="C52" t="s">
        <v>7</v>
      </c>
      <c r="D52" t="s">
        <v>7</v>
      </c>
      <c r="E52" t="s">
        <v>8</v>
      </c>
      <c r="F52">
        <v>95900</v>
      </c>
    </row>
    <row r="53" spans="1:6" x14ac:dyDescent="0.3">
      <c r="A53" s="1">
        <v>44905</v>
      </c>
      <c r="B53" t="s">
        <v>47</v>
      </c>
      <c r="C53" t="s">
        <v>10</v>
      </c>
      <c r="D53" t="s">
        <v>11</v>
      </c>
      <c r="E53" t="s">
        <v>14</v>
      </c>
      <c r="F53">
        <v>10000</v>
      </c>
    </row>
    <row r="54" spans="1:6" x14ac:dyDescent="0.3">
      <c r="A54" s="1">
        <v>44907</v>
      </c>
      <c r="B54" t="s">
        <v>48</v>
      </c>
      <c r="C54" t="s">
        <v>10</v>
      </c>
      <c r="D54" t="s">
        <v>11</v>
      </c>
      <c r="E54" t="s">
        <v>8</v>
      </c>
      <c r="F54">
        <v>5500</v>
      </c>
    </row>
    <row r="55" spans="1:6" x14ac:dyDescent="0.3">
      <c r="A55" s="1">
        <v>44907</v>
      </c>
      <c r="B55" t="s">
        <v>49</v>
      </c>
      <c r="C55" t="s">
        <v>10</v>
      </c>
      <c r="D55" t="s">
        <v>11</v>
      </c>
      <c r="E55" t="s">
        <v>8</v>
      </c>
      <c r="F55">
        <v>15000</v>
      </c>
    </row>
    <row r="56" spans="1:6" x14ac:dyDescent="0.3">
      <c r="A56" s="1">
        <v>44908</v>
      </c>
      <c r="B56" t="s">
        <v>50</v>
      </c>
      <c r="C56" t="s">
        <v>23</v>
      </c>
      <c r="D56" t="s">
        <v>11</v>
      </c>
      <c r="E56" t="s">
        <v>8</v>
      </c>
      <c r="F56">
        <v>32300</v>
      </c>
    </row>
    <row r="57" spans="1:6" x14ac:dyDescent="0.3">
      <c r="A57" s="1">
        <v>44909</v>
      </c>
      <c r="B57" t="s">
        <v>51</v>
      </c>
      <c r="C57" t="s">
        <v>10</v>
      </c>
      <c r="D57" t="s">
        <v>11</v>
      </c>
      <c r="E57" t="s">
        <v>14</v>
      </c>
      <c r="F57">
        <v>35900</v>
      </c>
    </row>
    <row r="58" spans="1:6" x14ac:dyDescent="0.3">
      <c r="A58" s="1">
        <v>44909</v>
      </c>
      <c r="B58" t="s">
        <v>29</v>
      </c>
      <c r="C58" t="s">
        <v>30</v>
      </c>
      <c r="D58" t="s">
        <v>11</v>
      </c>
      <c r="E58" t="s">
        <v>8</v>
      </c>
      <c r="F58">
        <v>38000</v>
      </c>
    </row>
    <row r="59" spans="1:6" x14ac:dyDescent="0.3">
      <c r="A59" s="1">
        <v>44910</v>
      </c>
      <c r="B59" t="s">
        <v>35</v>
      </c>
      <c r="C59" t="s">
        <v>13</v>
      </c>
      <c r="D59" t="s">
        <v>11</v>
      </c>
      <c r="E59" t="s">
        <v>14</v>
      </c>
      <c r="F59">
        <v>6878</v>
      </c>
    </row>
    <row r="60" spans="1:6" x14ac:dyDescent="0.3">
      <c r="A60" s="1">
        <v>44914</v>
      </c>
      <c r="B60" t="s">
        <v>35</v>
      </c>
      <c r="C60" t="s">
        <v>13</v>
      </c>
      <c r="D60" t="s">
        <v>11</v>
      </c>
      <c r="E60" t="s">
        <v>14</v>
      </c>
      <c r="F60">
        <v>5446</v>
      </c>
    </row>
    <row r="61" spans="1:6" x14ac:dyDescent="0.3">
      <c r="A61" s="1">
        <v>44914</v>
      </c>
      <c r="B61" t="s">
        <v>24</v>
      </c>
      <c r="C61" t="s">
        <v>16</v>
      </c>
      <c r="D61" t="s">
        <v>11</v>
      </c>
      <c r="E61" t="s">
        <v>8</v>
      </c>
      <c r="F61">
        <v>9800</v>
      </c>
    </row>
    <row r="62" spans="1:6" x14ac:dyDescent="0.3">
      <c r="A62" s="1">
        <v>44915</v>
      </c>
      <c r="B62" t="s">
        <v>35</v>
      </c>
      <c r="C62" t="s">
        <v>13</v>
      </c>
      <c r="D62" t="s">
        <v>11</v>
      </c>
      <c r="E62" t="s">
        <v>14</v>
      </c>
      <c r="F62">
        <v>7616</v>
      </c>
    </row>
    <row r="63" spans="1:6" x14ac:dyDescent="0.3">
      <c r="A63" s="1">
        <v>44915</v>
      </c>
      <c r="B63" t="s">
        <v>26</v>
      </c>
      <c r="C63" t="s">
        <v>10</v>
      </c>
      <c r="D63" t="s">
        <v>11</v>
      </c>
      <c r="E63" t="s">
        <v>14</v>
      </c>
      <c r="F63">
        <v>4300</v>
      </c>
    </row>
    <row r="64" spans="1:6" x14ac:dyDescent="0.3">
      <c r="A64" s="1">
        <v>44917</v>
      </c>
      <c r="B64" t="s">
        <v>52</v>
      </c>
      <c r="C64" t="s">
        <v>10</v>
      </c>
      <c r="D64" t="s">
        <v>11</v>
      </c>
      <c r="E64" t="s">
        <v>14</v>
      </c>
      <c r="F64">
        <v>5718</v>
      </c>
    </row>
    <row r="65" spans="1:6" x14ac:dyDescent="0.3">
      <c r="A65" s="1">
        <v>44920</v>
      </c>
      <c r="B65" t="s">
        <v>31</v>
      </c>
      <c r="C65" t="s">
        <v>23</v>
      </c>
      <c r="D65" t="s">
        <v>11</v>
      </c>
      <c r="E65" t="s">
        <v>8</v>
      </c>
      <c r="F65">
        <v>50000</v>
      </c>
    </row>
    <row r="66" spans="1:6" x14ac:dyDescent="0.3">
      <c r="A66" s="1">
        <v>44921</v>
      </c>
      <c r="B66" t="s">
        <v>32</v>
      </c>
      <c r="C66" t="s">
        <v>23</v>
      </c>
      <c r="D66" t="s">
        <v>11</v>
      </c>
      <c r="E66" t="s">
        <v>14</v>
      </c>
      <c r="F66">
        <v>10000</v>
      </c>
    </row>
    <row r="67" spans="1:6" x14ac:dyDescent="0.3">
      <c r="A67" s="1">
        <v>44921</v>
      </c>
      <c r="B67" t="s">
        <v>53</v>
      </c>
      <c r="C67" t="s">
        <v>13</v>
      </c>
      <c r="D67" t="s">
        <v>11</v>
      </c>
      <c r="E67" t="s">
        <v>8</v>
      </c>
      <c r="F67">
        <v>6383</v>
      </c>
    </row>
    <row r="68" spans="1:6" x14ac:dyDescent="0.3">
      <c r="A68" s="1">
        <v>44922</v>
      </c>
      <c r="B68" t="s">
        <v>22</v>
      </c>
      <c r="C68" t="s">
        <v>23</v>
      </c>
      <c r="D68" t="s">
        <v>11</v>
      </c>
      <c r="E68" t="s">
        <v>8</v>
      </c>
      <c r="F68">
        <v>11670</v>
      </c>
    </row>
    <row r="69" spans="1:6" x14ac:dyDescent="0.3">
      <c r="A69" s="1">
        <v>44922</v>
      </c>
      <c r="B69" t="s">
        <v>21</v>
      </c>
      <c r="C69" t="s">
        <v>13</v>
      </c>
      <c r="D69" t="s">
        <v>11</v>
      </c>
      <c r="E69" t="s">
        <v>8</v>
      </c>
      <c r="F69">
        <v>8108</v>
      </c>
    </row>
    <row r="70" spans="1:6" x14ac:dyDescent="0.3">
      <c r="A70" s="1">
        <v>44923</v>
      </c>
      <c r="B70" t="s">
        <v>21</v>
      </c>
      <c r="C70" t="s">
        <v>13</v>
      </c>
      <c r="D70" t="s">
        <v>11</v>
      </c>
      <c r="E70" t="s">
        <v>8</v>
      </c>
      <c r="F70">
        <v>6675</v>
      </c>
    </row>
    <row r="71" spans="1:6" x14ac:dyDescent="0.3">
      <c r="A71" s="1">
        <v>44923</v>
      </c>
      <c r="B71" t="s">
        <v>20</v>
      </c>
      <c r="C71" t="s">
        <v>10</v>
      </c>
      <c r="D71" t="s">
        <v>11</v>
      </c>
      <c r="E71" t="s">
        <v>8</v>
      </c>
      <c r="F71">
        <v>65900</v>
      </c>
    </row>
    <row r="72" spans="1:6" x14ac:dyDescent="0.3">
      <c r="A72" s="1">
        <v>44924</v>
      </c>
      <c r="B72" t="s">
        <v>54</v>
      </c>
      <c r="C72" t="s">
        <v>23</v>
      </c>
      <c r="D72" t="s">
        <v>11</v>
      </c>
      <c r="E72" t="s">
        <v>14</v>
      </c>
      <c r="F72">
        <v>6189</v>
      </c>
    </row>
    <row r="73" spans="1:6" x14ac:dyDescent="0.3">
      <c r="A73" s="1">
        <v>44926</v>
      </c>
      <c r="B73" t="s">
        <v>36</v>
      </c>
      <c r="C73" t="s">
        <v>16</v>
      </c>
      <c r="D73" t="s">
        <v>11</v>
      </c>
      <c r="E73" t="s">
        <v>8</v>
      </c>
      <c r="F73">
        <v>1940</v>
      </c>
    </row>
  </sheetData>
  <dataValidations disablePrompts="1" count="1">
    <dataValidation type="list" allowBlank="1" showErrorMessage="1" sqref="D2:D73" xr:uid="{81E37959-5C4A-4633-9A64-5EE83CA6D7F7}">
      <formula1>"Income,Expenses"</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A3275-0222-4862-B619-B4DFEA9D2350}">
  <dimension ref="A1:B12"/>
  <sheetViews>
    <sheetView workbookViewId="0">
      <selection activeCell="A12" sqref="A12"/>
    </sheetView>
  </sheetViews>
  <sheetFormatPr defaultRowHeight="14.4" x14ac:dyDescent="0.3"/>
  <cols>
    <col min="1" max="1" width="19.5546875" bestFit="1" customWidth="1"/>
    <col min="2" max="2" width="14.44140625" bestFit="1" customWidth="1"/>
  </cols>
  <sheetData>
    <row r="1" spans="1:2" x14ac:dyDescent="0.3">
      <c r="A1" s="2" t="s">
        <v>3</v>
      </c>
      <c r="B1" t="s">
        <v>11</v>
      </c>
    </row>
    <row r="3" spans="1:2" x14ac:dyDescent="0.3">
      <c r="A3" s="2" t="s">
        <v>61</v>
      </c>
      <c r="B3" t="s">
        <v>56</v>
      </c>
    </row>
    <row r="4" spans="1:2" x14ac:dyDescent="0.3">
      <c r="A4" s="3" t="s">
        <v>23</v>
      </c>
      <c r="B4" s="4">
        <v>265370</v>
      </c>
    </row>
    <row r="5" spans="1:2" x14ac:dyDescent="0.3">
      <c r="A5" s="3" t="s">
        <v>13</v>
      </c>
      <c r="B5" s="4">
        <v>207910</v>
      </c>
    </row>
    <row r="6" spans="1:2" x14ac:dyDescent="0.3">
      <c r="A6" s="3" t="s">
        <v>10</v>
      </c>
      <c r="B6" s="4">
        <v>182094</v>
      </c>
    </row>
    <row r="7" spans="1:2" x14ac:dyDescent="0.3">
      <c r="A7" s="3" t="s">
        <v>16</v>
      </c>
      <c r="B7" s="4">
        <v>137712</v>
      </c>
    </row>
    <row r="8" spans="1:2" x14ac:dyDescent="0.3">
      <c r="A8" s="3" t="s">
        <v>30</v>
      </c>
      <c r="B8" s="4">
        <v>69900</v>
      </c>
    </row>
    <row r="9" spans="1:2" x14ac:dyDescent="0.3">
      <c r="A9" s="3" t="s">
        <v>55</v>
      </c>
      <c r="B9" s="4">
        <v>862986</v>
      </c>
    </row>
    <row r="12" spans="1:2" x14ac:dyDescent="0.3">
      <c r="A12" s="6">
        <f>GETPIVOTDATA("Sum of Amount",$A$3)</f>
        <v>862986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CDB10-00C2-49B5-9E7A-E19CB0A6213A}">
  <dimension ref="A1:B10"/>
  <sheetViews>
    <sheetView workbookViewId="0">
      <selection activeCell="M12" sqref="M12"/>
    </sheetView>
  </sheetViews>
  <sheetFormatPr defaultRowHeight="14.4" x14ac:dyDescent="0.3"/>
  <cols>
    <col min="1" max="1" width="19.5546875" bestFit="1" customWidth="1"/>
    <col min="2" max="2" width="15.77734375" bestFit="1" customWidth="1"/>
  </cols>
  <sheetData>
    <row r="1" spans="1:2" x14ac:dyDescent="0.3">
      <c r="A1" s="2" t="s">
        <v>3</v>
      </c>
      <c r="B1" t="s">
        <v>63</v>
      </c>
    </row>
    <row r="3" spans="1:2" x14ac:dyDescent="0.3">
      <c r="A3" s="2" t="s">
        <v>2</v>
      </c>
      <c r="B3" t="s">
        <v>60</v>
      </c>
    </row>
    <row r="4" spans="1:2" x14ac:dyDescent="0.3">
      <c r="A4" s="3" t="s">
        <v>30</v>
      </c>
      <c r="B4" s="8">
        <v>3</v>
      </c>
    </row>
    <row r="5" spans="1:2" x14ac:dyDescent="0.3">
      <c r="A5" s="3" t="s">
        <v>7</v>
      </c>
      <c r="B5" s="8">
        <v>5</v>
      </c>
    </row>
    <row r="6" spans="1:2" x14ac:dyDescent="0.3">
      <c r="A6" s="3" t="s">
        <v>16</v>
      </c>
      <c r="B6" s="8">
        <v>11</v>
      </c>
    </row>
    <row r="7" spans="1:2" x14ac:dyDescent="0.3">
      <c r="A7" s="3" t="s">
        <v>23</v>
      </c>
      <c r="B7" s="8">
        <v>14</v>
      </c>
    </row>
    <row r="8" spans="1:2" x14ac:dyDescent="0.3">
      <c r="A8" s="3" t="s">
        <v>10</v>
      </c>
      <c r="B8" s="8">
        <v>14</v>
      </c>
    </row>
    <row r="9" spans="1:2" x14ac:dyDescent="0.3">
      <c r="A9" s="3" t="s">
        <v>13</v>
      </c>
      <c r="B9" s="8">
        <v>25</v>
      </c>
    </row>
    <row r="10" spans="1:2" x14ac:dyDescent="0.3">
      <c r="A10" s="3" t="s">
        <v>55</v>
      </c>
      <c r="B10" s="8">
        <v>72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7042F-4587-4D8D-84B3-4B9075FD8141}">
  <dimension ref="A3:B6"/>
  <sheetViews>
    <sheetView topLeftCell="A2" workbookViewId="0">
      <selection activeCell="B4" sqref="B4:B6"/>
    </sheetView>
  </sheetViews>
  <sheetFormatPr defaultRowHeight="14.4" x14ac:dyDescent="0.3"/>
  <cols>
    <col min="1" max="1" width="12" bestFit="1" customWidth="1"/>
    <col min="2" max="2" width="14.44140625" bestFit="1" customWidth="1"/>
  </cols>
  <sheetData>
    <row r="3" spans="1:2" x14ac:dyDescent="0.3">
      <c r="A3" s="2" t="s">
        <v>3</v>
      </c>
      <c r="B3" t="s">
        <v>56</v>
      </c>
    </row>
    <row r="4" spans="1:2" x14ac:dyDescent="0.3">
      <c r="A4" s="3" t="s">
        <v>11</v>
      </c>
      <c r="B4" s="8">
        <v>862986</v>
      </c>
    </row>
    <row r="5" spans="1:2" x14ac:dyDescent="0.3">
      <c r="A5" s="3" t="s">
        <v>7</v>
      </c>
      <c r="B5" s="8">
        <v>1445900</v>
      </c>
    </row>
    <row r="6" spans="1:2" x14ac:dyDescent="0.3">
      <c r="A6" s="3" t="s">
        <v>55</v>
      </c>
      <c r="B6" s="8">
        <v>2308886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8FA17-419D-41CE-8315-FD82A8E1F949}">
  <dimension ref="A1:B9"/>
  <sheetViews>
    <sheetView workbookViewId="0">
      <selection activeCell="A9" sqref="A9"/>
    </sheetView>
  </sheetViews>
  <sheetFormatPr defaultRowHeight="14.4" x14ac:dyDescent="0.3"/>
  <cols>
    <col min="1" max="1" width="10.77734375" bestFit="1" customWidth="1"/>
    <col min="2" max="2" width="14.44140625" bestFit="1" customWidth="1"/>
  </cols>
  <sheetData>
    <row r="1" spans="1:2" x14ac:dyDescent="0.3">
      <c r="A1" s="2" t="s">
        <v>3</v>
      </c>
      <c r="B1" t="s">
        <v>63</v>
      </c>
    </row>
    <row r="3" spans="1:2" x14ac:dyDescent="0.3">
      <c r="A3" s="2" t="s">
        <v>62</v>
      </c>
      <c r="B3" t="s">
        <v>56</v>
      </c>
    </row>
    <row r="4" spans="1:2" x14ac:dyDescent="0.3">
      <c r="A4" s="3" t="s">
        <v>57</v>
      </c>
      <c r="B4" s="5">
        <v>658559</v>
      </c>
    </row>
    <row r="5" spans="1:2" x14ac:dyDescent="0.3">
      <c r="A5" s="3" t="s">
        <v>58</v>
      </c>
      <c r="B5" s="5">
        <v>661104</v>
      </c>
    </row>
    <row r="6" spans="1:2" x14ac:dyDescent="0.3">
      <c r="A6" s="3" t="s">
        <v>59</v>
      </c>
      <c r="B6" s="5">
        <v>989223</v>
      </c>
    </row>
    <row r="7" spans="1:2" x14ac:dyDescent="0.3">
      <c r="A7" s="3" t="s">
        <v>55</v>
      </c>
      <c r="B7" s="5">
        <v>2308886</v>
      </c>
    </row>
    <row r="9" spans="1:2" x14ac:dyDescent="0.3">
      <c r="A9" t="str">
        <f>A4</f>
        <v>Oct</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9</vt:i4>
      </vt:variant>
    </vt:vector>
  </HeadingPairs>
  <TitlesOfParts>
    <vt:vector size="15" baseType="lpstr">
      <vt:lpstr>DASHBOARD</vt:lpstr>
      <vt:lpstr>Data</vt:lpstr>
      <vt:lpstr>Expense_Category</vt:lpstr>
      <vt:lpstr>Count of Expenses</vt:lpstr>
      <vt:lpstr>Expenses vs Income</vt:lpstr>
      <vt:lpstr>Month_Expenses</vt:lpstr>
      <vt:lpstr>amount</vt:lpstr>
      <vt:lpstr>category</vt:lpstr>
      <vt:lpstr>category_price</vt:lpstr>
      <vt:lpstr>class</vt:lpstr>
      <vt:lpstr>date</vt:lpstr>
      <vt:lpstr>desc</vt:lpstr>
      <vt:lpstr>expenses</vt:lpstr>
      <vt:lpstr>payment_method</vt:lpstr>
      <vt:lpstr>sel_month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Sijuade Enikansakin</cp:lastModifiedBy>
  <dcterms:created xsi:type="dcterms:W3CDTF">2026-04-20T07:57:41Z</dcterms:created>
  <dcterms:modified xsi:type="dcterms:W3CDTF">2026-05-12T15:35:30Z</dcterms:modified>
</cp:coreProperties>
</file>